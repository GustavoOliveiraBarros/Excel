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slicers/slicer2.xml" ContentType="application/vnd.ms-excel.slicer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edinaldo\Desktop\"/>
    </mc:Choice>
  </mc:AlternateContent>
  <xr:revisionPtr revIDLastSave="0" documentId="13_ncr:1_{7C49590A-EB9B-4462-B09B-C855C55B4E29}" xr6:coauthVersionLast="47" xr6:coauthVersionMax="47" xr10:uidLastSave="{00000000-0000-0000-0000-000000000000}"/>
  <bookViews>
    <workbookView xWindow="-120" yWindow="-120" windowWidth="20640" windowHeight="11160" activeTab="2" xr2:uid="{37E9F3EE-D482-4CE7-81F6-0055CC54B455}"/>
  </bookViews>
  <sheets>
    <sheet name="Tabela" sheetId="1" r:id="rId1"/>
    <sheet name="Cálculos" sheetId="2" state="hidden" r:id="rId2"/>
    <sheet name="Dashboard" sheetId="3" r:id="rId3"/>
  </sheets>
  <definedNames>
    <definedName name="SegmentaçãodeDados_Meses__Data">#N/A</definedName>
  </definedNames>
  <calcPr calcId="191029"/>
  <pivotCaches>
    <pivotCache cacheId="49" r:id="rId4"/>
  </pivotCaches>
  <extLst>
    <ext xmlns:x14="http://schemas.microsoft.com/office/spreadsheetml/2009/9/main" uri="{BBE1A952-AA13-448e-AADC-164F8A28A991}">
      <x14:slicerCaches>
        <x14:slicerCache r:id="rId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74" i="2" l="1"/>
  <c r="F76" i="2"/>
  <c r="F73" i="2"/>
  <c r="L40" i="2"/>
  <c r="F38" i="2" s="1"/>
  <c r="E40" i="2"/>
  <c r="F40" i="2" s="1"/>
  <c r="F19" i="2"/>
  <c r="F20" i="2"/>
  <c r="F21" i="2"/>
  <c r="F18" i="2"/>
</calcChain>
</file>

<file path=xl/sharedStrings.xml><?xml version="1.0" encoding="utf-8"?>
<sst xmlns="http://schemas.openxmlformats.org/spreadsheetml/2006/main" count="10227" uniqueCount="49">
  <si>
    <t>Data</t>
  </si>
  <si>
    <t>Produto</t>
  </si>
  <si>
    <t>Categoria</t>
  </si>
  <si>
    <t>Equipe</t>
  </si>
  <si>
    <t>Canal</t>
  </si>
  <si>
    <t>Quantidade</t>
  </si>
  <si>
    <t>Custo de produção</t>
  </si>
  <si>
    <t xml:space="preserve"> Interruptor simples</t>
  </si>
  <si>
    <t>Equip. Elétricos</t>
  </si>
  <si>
    <t>Equipe 01</t>
  </si>
  <si>
    <t>Canal 03</t>
  </si>
  <si>
    <t xml:space="preserve"> Lâmpada LED bulbo</t>
  </si>
  <si>
    <t>Iluminação</t>
  </si>
  <si>
    <t>Equipe 02</t>
  </si>
  <si>
    <t>Canal 01</t>
  </si>
  <si>
    <t xml:space="preserve"> Disjuntor termomagnético</t>
  </si>
  <si>
    <t>Canal 02</t>
  </si>
  <si>
    <t xml:space="preserve"> Caixa de passagem</t>
  </si>
  <si>
    <t>Materiais Elétricos</t>
  </si>
  <si>
    <t xml:space="preserve"> Luminária LED de embutir</t>
  </si>
  <si>
    <t xml:space="preserve"> Inversor de frequência</t>
  </si>
  <si>
    <t xml:space="preserve"> Transformador</t>
  </si>
  <si>
    <t xml:space="preserve"> Refletor LED de alta potência</t>
  </si>
  <si>
    <t xml:space="preserve"> Eletroduto rígido</t>
  </si>
  <si>
    <t xml:space="preserve"> Bucha de redução para eletroduto</t>
  </si>
  <si>
    <t xml:space="preserve"> Luminária LED de sobrepor</t>
  </si>
  <si>
    <t xml:space="preserve"> Lâmpada LED tubular</t>
  </si>
  <si>
    <t xml:space="preserve"> Abraçadeira tipo U</t>
  </si>
  <si>
    <t xml:space="preserve"> Tomada com suporte para USB</t>
  </si>
  <si>
    <t xml:space="preserve"> Conduíte corrugado</t>
  </si>
  <si>
    <t>Rótulos de Linha</t>
  </si>
  <si>
    <t>Total Geral</t>
  </si>
  <si>
    <t>Soma de Quantidade</t>
  </si>
  <si>
    <t>Rótulos de Coluna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</si>
  <si>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</si>
  <si>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</si>
  <si>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</si>
  <si>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</si>
  <si>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</si>
  <si>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</si>
  <si>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</si>
  <si>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</si>
  <si>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</si>
  <si>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</si>
  <si>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</si>
  <si>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</si>
  <si>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Soma de Custo de produção</t>
  </si>
  <si>
    <t>Soma de Custo de produção2</t>
  </si>
  <si>
    <t>Média de Quantidade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</si>
</sst>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8" formatCode="&quot;R$&quot;\ #,##0.00;[Red]\-&quot;R$&quot;\ #,##0.00"/>
    <numFmt numFmtId="44" formatCode="_-&quot;R$&quot;\ * #,##0.00_-;\-&quot;R$&quot;\ * #,##0.00_-;_-&quot;R$&quot;\ 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rgb="FFD1D5DB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rgb="FF003366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8">
    <xf numFmtId="0" fontId="0" fillId="0" borderId="0" xfId="0"/>
    <xf numFmtId="0" fontId="0" fillId="0" borderId="1" xfId="0" applyBorder="1"/>
    <xf numFmtId="0" fontId="0" fillId="0" borderId="2" xfId="0" applyBorder="1"/>
    <xf numFmtId="14" fontId="0" fillId="0" borderId="5" xfId="0" applyNumberFormat="1" applyBorder="1"/>
    <xf numFmtId="14" fontId="0" fillId="0" borderId="3" xfId="0" applyNumberFormat="1" applyBorder="1"/>
    <xf numFmtId="44" fontId="0" fillId="0" borderId="6" xfId="1" applyFont="1" applyBorder="1"/>
    <xf numFmtId="44" fontId="0" fillId="0" borderId="4" xfId="1" applyFont="1" applyBorder="1"/>
    <xf numFmtId="44" fontId="0" fillId="0" borderId="0" xfId="1" applyFont="1"/>
    <xf numFmtId="14" fontId="0" fillId="0" borderId="0" xfId="0" applyNumberFormat="1"/>
    <xf numFmtId="44" fontId="0" fillId="0" borderId="6" xfId="2" applyFont="1" applyBorder="1"/>
    <xf numFmtId="44" fontId="0" fillId="0" borderId="4" xfId="2" applyFont="1" applyBorder="1"/>
    <xf numFmtId="8" fontId="0" fillId="0" borderId="0" xfId="1" applyNumberFormat="1" applyFont="1"/>
    <xf numFmtId="0" fontId="2" fillId="2" borderId="7" xfId="0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14" fontId="0" fillId="0" borderId="7" xfId="0" applyNumberFormat="1" applyBorder="1"/>
    <xf numFmtId="44" fontId="0" fillId="0" borderId="8" xfId="2" applyFont="1" applyBorder="1"/>
    <xf numFmtId="14" fontId="0" fillId="0" borderId="9" xfId="0" applyNumberFormat="1" applyBorder="1"/>
    <xf numFmtId="0" fontId="0" fillId="0" borderId="10" xfId="0" applyBorder="1"/>
    <xf numFmtId="44" fontId="0" fillId="0" borderId="11" xfId="2" applyFont="1" applyBorder="1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0" fontId="0" fillId="3" borderId="0" xfId="0" applyFill="1"/>
    <xf numFmtId="0" fontId="3" fillId="0" borderId="0" xfId="0" applyFont="1" applyAlignment="1">
      <alignment horizontal="left" vertical="center" indent="1"/>
    </xf>
    <xf numFmtId="44" fontId="0" fillId="0" borderId="0" xfId="0" applyNumberFormat="1"/>
    <xf numFmtId="2" fontId="0" fillId="0" borderId="0" xfId="0" applyNumberFormat="1"/>
    <xf numFmtId="44" fontId="2" fillId="2" borderId="8" xfId="0" applyNumberFormat="1" applyFont="1" applyFill="1" applyBorder="1" applyAlignment="1">
      <alignment vertical="center"/>
    </xf>
    <xf numFmtId="0" fontId="0" fillId="0" borderId="0" xfId="0" applyNumberFormat="1"/>
  </cellXfs>
  <cellStyles count="3">
    <cellStyle name="Moeda" xfId="1" builtinId="4"/>
    <cellStyle name="Moeda 2" xfId="2" xr:uid="{AC32B18E-F53D-42CA-A668-8A76466E15D7}"/>
    <cellStyle name="Normal" xfId="0" builtinId="0"/>
  </cellStyles>
  <dxfs count="8">
    <dxf>
      <numFmt numFmtId="34" formatCode="_-&quot;R$&quot;\ * #,##0.00_-;\-&quot;R$&quot;\ * #,##0.00_-;_-&quot;R$&quot;\ * &quot;-&quot;??_-;_-@_-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2" formatCode="&quot;R$&quot;\ #,##0.00;[Red]\-&quot;R$&quot;\ #,##0.00"/>
    </dxf>
    <dxf>
      <numFmt numFmtId="19" formatCode="dd/mm/yyyy"/>
    </dxf>
    <dxf>
      <border outline="0"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general" vertical="center" textRotation="0" wrapText="0" indent="0" justifyLastLine="0" shrinkToFit="0" readingOrder="0"/>
    </dxf>
    <dxf>
      <fill>
        <patternFill>
          <bgColor rgb="FF00B0F0"/>
        </patternFill>
      </fill>
      <border diagonalUp="0" diagonalDown="0">
        <left/>
        <right/>
        <top/>
        <bottom/>
        <vertical/>
        <horizontal/>
      </border>
    </dxf>
    <dxf>
      <font>
        <sz val="12"/>
        <color theme="0"/>
      </font>
      <fill>
        <patternFill>
          <bgColor theme="5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Estilo de Segmentação de Dados 1" pivot="0" table="0" count="7" xr9:uid="{3EB58367-6B26-4930-83CE-C7D4159542EB}">
      <tableStyleElement type="wholeTable" dxfId="7"/>
      <tableStyleElement type="headerRow" dxfId="6"/>
    </tableStyle>
  </tableStyles>
  <colors>
    <mruColors>
      <color rgb="FFFFCC00"/>
      <color rgb="FFD2C804"/>
      <color rgb="FFEAA700"/>
      <color rgb="FFFF3300"/>
      <color rgb="FF0099CC"/>
      <color rgb="FF00FF00"/>
      <color rgb="FF003366"/>
    </mruColors>
  </colors>
  <extLst>
    <ext xmlns:x14="http://schemas.microsoft.com/office/spreadsheetml/2009/9/main" uri="{46F421CA-312F-682f-3DD2-61675219B42D}">
      <x14:dxfs count="5">
        <dxf>
          <font>
            <sz val="12"/>
            <color theme="5"/>
          </font>
          <fill>
            <patternFill>
              <bgColor theme="0"/>
            </patternFill>
          </fill>
          <border diagonalUp="0" diagonalDown="0"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  <vertical/>
            <horizontal/>
          </border>
        </dxf>
        <dxf>
          <font>
            <sz val="12"/>
            <color theme="5"/>
          </font>
          <fill>
            <patternFill>
              <bgColor theme="0"/>
            </patternFill>
          </fill>
        </dxf>
        <dxf>
          <font>
            <sz val="12"/>
            <color theme="0"/>
          </font>
          <fill>
            <patternFill>
              <bgColor theme="4" tint="0.39994506668294322"/>
            </patternFill>
          </fill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  <dxf>
          <font>
            <sz val="12"/>
            <color theme="0"/>
          </font>
          <fill>
            <patternFill>
              <bgColor theme="4" tint="-0.24994659260841701"/>
            </patternFill>
          </fill>
          <border diagonalUp="0" diagonalDown="0"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  <vertical/>
            <horizontal/>
          </border>
        </dxf>
        <dxf>
          <font>
            <sz val="12"/>
            <color theme="0"/>
          </font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unselectedItemWithData" dxfId="4"/>
            <x14:slicerStyleElement type="selectedItemWithData" dxfId="3"/>
            <x14:slicerStyleElement type="selectedItemWithNoData" dxfId="2"/>
            <x14:slicerStyleElement type="hoveredSelectedItemWith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microsoft.com/office/2007/relationships/slicerCache" Target="slicerCaches/slicerCach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Dashboard.xlsm]Cálculos!Tabela dinâmica6</c:name>
    <c:fmtId val="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Cálculos!$B$53</c:f>
              <c:strCache>
                <c:ptCount val="1"/>
                <c:pt idx="0">
                  <c:v>Soma de Custo de produção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Cálculos!$A$54:$A$66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Cálculos!$B$54:$B$66</c:f>
              <c:numCache>
                <c:formatCode>_("R$"* #,##0.00_);_("R$"* \(#,##0.00\);_("R$"* "-"??_);_(@_)</c:formatCode>
                <c:ptCount val="12"/>
                <c:pt idx="0">
                  <c:v>16921</c:v>
                </c:pt>
                <c:pt idx="1">
                  <c:v>17133</c:v>
                </c:pt>
                <c:pt idx="2">
                  <c:v>17978</c:v>
                </c:pt>
                <c:pt idx="3">
                  <c:v>16951</c:v>
                </c:pt>
                <c:pt idx="4">
                  <c:v>16036</c:v>
                </c:pt>
                <c:pt idx="5">
                  <c:v>19089</c:v>
                </c:pt>
                <c:pt idx="6">
                  <c:v>21087</c:v>
                </c:pt>
                <c:pt idx="7">
                  <c:v>18655</c:v>
                </c:pt>
                <c:pt idx="8">
                  <c:v>20092</c:v>
                </c:pt>
                <c:pt idx="9">
                  <c:v>17295</c:v>
                </c:pt>
                <c:pt idx="10">
                  <c:v>15574</c:v>
                </c:pt>
                <c:pt idx="11">
                  <c:v>20202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A9-4CAD-A020-2E9233E67997}"/>
            </c:ext>
          </c:extLst>
        </c:ser>
        <c:ser>
          <c:idx val="1"/>
          <c:order val="1"/>
          <c:tx>
            <c:strRef>
              <c:f>Cálculos!$C$53</c:f>
              <c:strCache>
                <c:ptCount val="1"/>
                <c:pt idx="0">
                  <c:v>Soma de Custo de produção2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strRef>
              <c:f>Cálculos!$A$54:$A$66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Cálculos!$C$54:$C$66</c:f>
              <c:numCache>
                <c:formatCode>_("R$"* #,##0.00_);_("R$"* \(#,##0.00\);_("R$"* "-"??_);_(@_)</c:formatCode>
                <c:ptCount val="12"/>
                <c:pt idx="0">
                  <c:v>16921</c:v>
                </c:pt>
                <c:pt idx="1">
                  <c:v>17133</c:v>
                </c:pt>
                <c:pt idx="2">
                  <c:v>17978</c:v>
                </c:pt>
                <c:pt idx="3">
                  <c:v>16951</c:v>
                </c:pt>
                <c:pt idx="4">
                  <c:v>16036</c:v>
                </c:pt>
                <c:pt idx="5">
                  <c:v>19089</c:v>
                </c:pt>
                <c:pt idx="6">
                  <c:v>21087</c:v>
                </c:pt>
                <c:pt idx="7">
                  <c:v>18655</c:v>
                </c:pt>
                <c:pt idx="8">
                  <c:v>20092</c:v>
                </c:pt>
                <c:pt idx="9">
                  <c:v>17295</c:v>
                </c:pt>
                <c:pt idx="10">
                  <c:v>15574</c:v>
                </c:pt>
                <c:pt idx="11">
                  <c:v>20202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A9-4CAD-A020-2E9233E679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6266496"/>
        <c:axId val="656271536"/>
      </c:areaChart>
      <c:catAx>
        <c:axId val="656266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6271536"/>
        <c:crosses val="autoZero"/>
        <c:auto val="1"/>
        <c:lblAlgn val="ctr"/>
        <c:lblOffset val="100"/>
        <c:noMultiLvlLbl val="0"/>
      </c:catAx>
      <c:valAx>
        <c:axId val="656271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6266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Dashboard.xlsm]Cálculos!Tabela dinâmica1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C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33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Cálculos!$B$3:$B$4</c:f>
              <c:strCache>
                <c:ptCount val="1"/>
                <c:pt idx="0">
                  <c:v>Equipe 01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Cálculos!$A$5:$A$8</c:f>
              <c:strCache>
                <c:ptCount val="3"/>
                <c:pt idx="0">
                  <c:v>Canal 01</c:v>
                </c:pt>
                <c:pt idx="1">
                  <c:v>Canal 02</c:v>
                </c:pt>
                <c:pt idx="2">
                  <c:v>Canal 03</c:v>
                </c:pt>
              </c:strCache>
            </c:strRef>
          </c:cat>
          <c:val>
            <c:numRef>
              <c:f>Cálculos!$B$5:$B$8</c:f>
              <c:numCache>
                <c:formatCode>General</c:formatCode>
                <c:ptCount val="3"/>
                <c:pt idx="0">
                  <c:v>23548</c:v>
                </c:pt>
                <c:pt idx="1">
                  <c:v>22746</c:v>
                </c:pt>
                <c:pt idx="2">
                  <c:v>21990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C5-4FF2-848B-F5647011C3B7}"/>
            </c:ext>
          </c:extLst>
        </c:ser>
        <c:ser>
          <c:idx val="1"/>
          <c:order val="1"/>
          <c:tx>
            <c:strRef>
              <c:f>Cálculos!$C$3:$C$4</c:f>
              <c:strCache>
                <c:ptCount val="1"/>
                <c:pt idx="0">
                  <c:v>Equipe 02</c:v>
                </c:pt>
              </c:strCache>
            </c:strRef>
          </c:tx>
          <c:spPr>
            <a:solidFill>
              <a:srgbClr val="FF33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Cálculos!$A$5:$A$8</c:f>
              <c:strCache>
                <c:ptCount val="3"/>
                <c:pt idx="0">
                  <c:v>Canal 01</c:v>
                </c:pt>
                <c:pt idx="1">
                  <c:v>Canal 02</c:v>
                </c:pt>
                <c:pt idx="2">
                  <c:v>Canal 03</c:v>
                </c:pt>
              </c:strCache>
            </c:strRef>
          </c:cat>
          <c:val>
            <c:numRef>
              <c:f>Cálculos!$C$5:$C$8</c:f>
              <c:numCache>
                <c:formatCode>General</c:formatCode>
                <c:ptCount val="3"/>
                <c:pt idx="0">
                  <c:v>21681</c:v>
                </c:pt>
                <c:pt idx="1">
                  <c:v>24130</c:v>
                </c:pt>
                <c:pt idx="2">
                  <c:v>25028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AA-431C-A160-0B3761D71EF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86251200"/>
        <c:axId val="586253000"/>
      </c:barChart>
      <c:catAx>
        <c:axId val="586251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6253000"/>
        <c:crosses val="autoZero"/>
        <c:auto val="1"/>
        <c:lblAlgn val="ctr"/>
        <c:lblOffset val="100"/>
        <c:noMultiLvlLbl val="0"/>
      </c:catAx>
      <c:valAx>
        <c:axId val="58625300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86251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Dashboard.xlsm]Cálculos!Tabela dinâmica2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ln>
                    <a:noFill/>
                  </a:ln>
                  <a:solidFill>
                    <a:schemeClr val="bg1"/>
                  </a:solidFill>
                  <a:effectLst>
                    <a:glow rad="101600">
                      <a:schemeClr val="accent1">
                        <a:alpha val="60000"/>
                      </a:schemeClr>
                    </a:glow>
                  </a:effectLst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effectLst>
                    <a:glow rad="101600">
                      <a:schemeClr val="bg2">
                        <a:alpha val="60000"/>
                      </a:schemeClr>
                    </a:glow>
                  </a:effectLst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bg2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1.1324863565037406E-3"/>
          <c:y val="1.4934383202099737E-2"/>
          <c:w val="0.99886751395433604"/>
          <c:h val="0.75010279965004378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Cálculos!$G$3:$G$4</c:f>
              <c:strCache>
                <c:ptCount val="1"/>
                <c:pt idx="0">
                  <c:v>Equipe 01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5BA-4A66-AB20-7FE64A6F6D5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ln>
                      <a:noFill/>
                    </a:ln>
                    <a:solidFill>
                      <a:schemeClr val="bg1"/>
                    </a:solidFill>
                    <a:effectLst>
                      <a:glow rad="101600">
                        <a:schemeClr val="accent1">
                          <a:alpha val="60000"/>
                        </a:schemeClr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Cálculos!$F$5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Cálculos!$G$5</c:f>
              <c:numCache>
                <c:formatCode>0.00%</c:formatCode>
                <c:ptCount val="1"/>
                <c:pt idx="0">
                  <c:v>0.49081747805898379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BA-4A66-AB20-7FE64A6F6D5C}"/>
            </c:ext>
          </c:extLst>
        </c:ser>
        <c:ser>
          <c:idx val="1"/>
          <c:order val="1"/>
          <c:tx>
            <c:strRef>
              <c:f>Cálculos!$H$3:$H$4</c:f>
              <c:strCache>
                <c:ptCount val="1"/>
                <c:pt idx="0">
                  <c:v>Equipe 02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effectLst>
                      <a:glow rad="101600">
                        <a:schemeClr val="bg2">
                          <a:alpha val="60000"/>
                        </a:schemeClr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Cálculos!$F$5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Cálculos!$H$5</c:f>
              <c:numCache>
                <c:formatCode>0.00%</c:formatCode>
                <c:ptCount val="1"/>
                <c:pt idx="0">
                  <c:v>0.50918252194101621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BA-4A66-AB20-7FE64A6F6D5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88983688"/>
        <c:axId val="588984048"/>
      </c:barChart>
      <c:catAx>
        <c:axId val="58898368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88984048"/>
        <c:crosses val="autoZero"/>
        <c:auto val="1"/>
        <c:lblAlgn val="ctr"/>
        <c:lblOffset val="100"/>
        <c:noMultiLvlLbl val="0"/>
      </c:catAx>
      <c:valAx>
        <c:axId val="588984048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588983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Dashboard.xlsm]Cálculos!Tabela dinâmica4</c:name>
    <c:fmtId val="8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38100" cap="rnd">
            <a:gradFill flip="none" rotWithShape="1">
              <a:gsLst>
                <a:gs pos="0">
                  <a:schemeClr val="bg2"/>
                </a:gs>
                <a:gs pos="100000">
                  <a:schemeClr val="tx1">
                    <a:lumMod val="50000"/>
                  </a:schemeClr>
                </a:gs>
              </a:gsLst>
              <a:lin ang="10800000" scaled="1"/>
              <a:tileRect/>
            </a:gra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</c:pivotFmt>
    </c:pivotFmts>
    <c:plotArea>
      <c:layout>
        <c:manualLayout>
          <c:layoutTarget val="inner"/>
          <c:xMode val="edge"/>
          <c:yMode val="edge"/>
          <c:x val="0.17813685868836274"/>
          <c:y val="0.16641878566701829"/>
          <c:w val="0.73456558078869394"/>
          <c:h val="0.69489889294379981"/>
        </c:manualLayout>
      </c:layout>
      <c:lineChart>
        <c:grouping val="standard"/>
        <c:varyColors val="0"/>
        <c:ser>
          <c:idx val="0"/>
          <c:order val="0"/>
          <c:tx>
            <c:strRef>
              <c:f>Cálculos!$B$26:$B$27</c:f>
              <c:strCache>
                <c:ptCount val="1"/>
                <c:pt idx="0">
                  <c:v>Equipe 01</c:v>
                </c:pt>
              </c:strCache>
            </c:strRef>
          </c:tx>
          <c:spPr>
            <a:ln w="38100" cap="rnd">
              <a:gradFill flip="none" rotWithShape="1">
                <a:gsLst>
                  <a:gs pos="0">
                    <a:schemeClr val="bg2"/>
                  </a:gs>
                  <a:gs pos="100000">
                    <a:schemeClr val="tx1">
                      <a:lumMod val="50000"/>
                    </a:schemeClr>
                  </a:gs>
                </a:gsLst>
                <a:lin ang="10800000" scaled="1"/>
                <a:tileRect/>
              </a:gradFill>
              <a:round/>
            </a:ln>
            <a:effectLst/>
          </c:spPr>
          <c:marker>
            <c:symbol val="none"/>
          </c:marker>
          <c:cat>
            <c:strRef>
              <c:f>Cálculos!$A$28:$A$40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Cálculos!$B$28:$B$40</c:f>
              <c:numCache>
                <c:formatCode>General</c:formatCode>
                <c:ptCount val="12"/>
                <c:pt idx="0">
                  <c:v>4835</c:v>
                </c:pt>
                <c:pt idx="1">
                  <c:v>5885</c:v>
                </c:pt>
                <c:pt idx="2">
                  <c:v>5705</c:v>
                </c:pt>
                <c:pt idx="3">
                  <c:v>4810</c:v>
                </c:pt>
                <c:pt idx="4">
                  <c:v>5802</c:v>
                </c:pt>
                <c:pt idx="5">
                  <c:v>5447</c:v>
                </c:pt>
                <c:pt idx="6">
                  <c:v>6664</c:v>
                </c:pt>
                <c:pt idx="7">
                  <c:v>5929</c:v>
                </c:pt>
                <c:pt idx="8">
                  <c:v>6739</c:v>
                </c:pt>
                <c:pt idx="9">
                  <c:v>5731</c:v>
                </c:pt>
                <c:pt idx="10">
                  <c:v>5337</c:v>
                </c:pt>
                <c:pt idx="11">
                  <c:v>5400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3B69-4942-B4CA-14CBAD3384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8984408"/>
        <c:axId val="588981168"/>
      </c:lineChart>
      <c:catAx>
        <c:axId val="58898440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88981168"/>
        <c:crosses val="autoZero"/>
        <c:auto val="1"/>
        <c:lblAlgn val="ctr"/>
        <c:lblOffset val="100"/>
        <c:noMultiLvlLbl val="0"/>
      </c:catAx>
      <c:valAx>
        <c:axId val="5889811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8984408"/>
        <c:crosses val="autoZero"/>
        <c:crossBetween val="between"/>
      </c:valAx>
      <c:spPr>
        <a:noFill/>
      </c:spPr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Dashboard.xlsm]Cálculos!Tabela dinâmica7</c:name>
    <c:fmtId val="9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38100" cap="rnd">
            <a:gradFill flip="none" rotWithShape="1">
              <a:gsLst>
                <a:gs pos="0">
                  <a:schemeClr val="accent1"/>
                </a:gs>
                <a:gs pos="100000">
                  <a:schemeClr val="accent1">
                    <a:lumMod val="50000"/>
                  </a:schemeClr>
                </a:gs>
              </a:gsLst>
              <a:lin ang="10800000" scaled="1"/>
              <a:tileRect/>
            </a:gra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4606460559485213"/>
          <c:y val="0.13125039370078742"/>
          <c:w val="0.67668278602351806"/>
          <c:h val="0.67916661403651801"/>
        </c:manualLayout>
      </c:layout>
      <c:lineChart>
        <c:grouping val="standard"/>
        <c:varyColors val="0"/>
        <c:ser>
          <c:idx val="0"/>
          <c:order val="0"/>
          <c:tx>
            <c:strRef>
              <c:f>Cálculos!$I$26:$I$27</c:f>
              <c:strCache>
                <c:ptCount val="1"/>
                <c:pt idx="0">
                  <c:v>Equipe 02</c:v>
                </c:pt>
              </c:strCache>
            </c:strRef>
          </c:tx>
          <c:spPr>
            <a:ln w="38100" cap="rnd">
              <a:gradFill flip="none" rotWithShape="1">
                <a:gsLst>
                  <a:gs pos="0">
                    <a:schemeClr val="accent1"/>
                  </a:gs>
                  <a:gs pos="100000">
                    <a:schemeClr val="accent1">
                      <a:lumMod val="50000"/>
                    </a:schemeClr>
                  </a:gs>
                </a:gsLst>
                <a:lin ang="10800000" scaled="1"/>
                <a:tileRect/>
              </a:gradFill>
              <a:round/>
            </a:ln>
            <a:effectLst/>
          </c:spPr>
          <c:marker>
            <c:symbol val="none"/>
          </c:marker>
          <c:cat>
            <c:strRef>
              <c:f>Cálculos!$H$28:$H$40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Cálculos!$I$28:$I$40</c:f>
              <c:numCache>
                <c:formatCode>General</c:formatCode>
                <c:ptCount val="12"/>
                <c:pt idx="0">
                  <c:v>5134</c:v>
                </c:pt>
                <c:pt idx="1">
                  <c:v>5611</c:v>
                </c:pt>
                <c:pt idx="2">
                  <c:v>5832</c:v>
                </c:pt>
                <c:pt idx="3">
                  <c:v>6559</c:v>
                </c:pt>
                <c:pt idx="4">
                  <c:v>5189</c:v>
                </c:pt>
                <c:pt idx="5">
                  <c:v>6351</c:v>
                </c:pt>
                <c:pt idx="6">
                  <c:v>6234</c:v>
                </c:pt>
                <c:pt idx="7">
                  <c:v>5794</c:v>
                </c:pt>
                <c:pt idx="8">
                  <c:v>6036</c:v>
                </c:pt>
                <c:pt idx="9">
                  <c:v>6056</c:v>
                </c:pt>
                <c:pt idx="10">
                  <c:v>4914</c:v>
                </c:pt>
                <c:pt idx="11">
                  <c:v>7129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D41-459E-B056-82AF00B61A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4673456"/>
        <c:axId val="594675616"/>
      </c:lineChart>
      <c:catAx>
        <c:axId val="59467345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94675616"/>
        <c:crosses val="autoZero"/>
        <c:auto val="1"/>
        <c:lblAlgn val="ctr"/>
        <c:lblOffset val="100"/>
        <c:noMultiLvlLbl val="0"/>
      </c:catAx>
      <c:valAx>
        <c:axId val="5946756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94673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Dashboard.xlsm]Cálculos!Tabela dinâmica5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C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33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Cálculos!$B$43:$B$44</c:f>
              <c:strCache>
                <c:ptCount val="1"/>
                <c:pt idx="0">
                  <c:v>Equipe 01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Cálculos!$A$45:$A$50</c:f>
              <c:strCache>
                <c:ptCount val="5"/>
                <c:pt idx="0">
                  <c:v> Bucha de redução para eletroduto</c:v>
                </c:pt>
                <c:pt idx="1">
                  <c:v> Transformador</c:v>
                </c:pt>
                <c:pt idx="2">
                  <c:v> Refletor LED de alta potência</c:v>
                </c:pt>
                <c:pt idx="3">
                  <c:v> Luminária LED de embutir</c:v>
                </c:pt>
                <c:pt idx="4">
                  <c:v> Conduíte corrugado</c:v>
                </c:pt>
              </c:strCache>
            </c:strRef>
          </c:cat>
          <c:val>
            <c:numRef>
              <c:f>Cálculos!$B$45:$B$50</c:f>
              <c:numCache>
                <c:formatCode>General</c:formatCode>
                <c:ptCount val="5"/>
                <c:pt idx="0">
                  <c:v>6040</c:v>
                </c:pt>
                <c:pt idx="1">
                  <c:v>5129</c:v>
                </c:pt>
                <c:pt idx="2">
                  <c:v>4774</c:v>
                </c:pt>
                <c:pt idx="3">
                  <c:v>4760</c:v>
                </c:pt>
                <c:pt idx="4">
                  <c:v>4545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E1-40B3-A46B-602F12D4A44F}"/>
            </c:ext>
          </c:extLst>
        </c:ser>
        <c:ser>
          <c:idx val="1"/>
          <c:order val="1"/>
          <c:tx>
            <c:strRef>
              <c:f>Cálculos!$C$43:$C$44</c:f>
              <c:strCache>
                <c:ptCount val="1"/>
                <c:pt idx="0">
                  <c:v>Equipe 02</c:v>
                </c:pt>
              </c:strCache>
            </c:strRef>
          </c:tx>
          <c:spPr>
            <a:solidFill>
              <a:srgbClr val="FF33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Cálculos!$A$45:$A$50</c:f>
              <c:strCache>
                <c:ptCount val="5"/>
                <c:pt idx="0">
                  <c:v> Bucha de redução para eletroduto</c:v>
                </c:pt>
                <c:pt idx="1">
                  <c:v> Transformador</c:v>
                </c:pt>
                <c:pt idx="2">
                  <c:v> Refletor LED de alta potência</c:v>
                </c:pt>
                <c:pt idx="3">
                  <c:v> Luminária LED de embutir</c:v>
                </c:pt>
                <c:pt idx="4">
                  <c:v> Conduíte corrugado</c:v>
                </c:pt>
              </c:strCache>
            </c:strRef>
          </c:cat>
          <c:val>
            <c:numRef>
              <c:f>Cálculos!$C$45:$C$50</c:f>
              <c:numCache>
                <c:formatCode>General</c:formatCode>
                <c:ptCount val="5"/>
                <c:pt idx="0">
                  <c:v>4783</c:v>
                </c:pt>
                <c:pt idx="1">
                  <c:v>5225</c:v>
                </c:pt>
                <c:pt idx="2">
                  <c:v>5512</c:v>
                </c:pt>
                <c:pt idx="3">
                  <c:v>4850</c:v>
                </c:pt>
                <c:pt idx="4">
                  <c:v>4943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E1-40B3-A46B-602F12D4A44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594677416"/>
        <c:axId val="594680296"/>
      </c:barChart>
      <c:catAx>
        <c:axId val="59467741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94680296"/>
        <c:crosses val="autoZero"/>
        <c:auto val="1"/>
        <c:lblAlgn val="ctr"/>
        <c:lblOffset val="100"/>
        <c:noMultiLvlLbl val="0"/>
      </c:catAx>
      <c:valAx>
        <c:axId val="594680296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594677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Dashboard.xlsm]Cálculos!Tabela dinâmica6</c:name>
    <c:fmtId val="1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flip="none" rotWithShape="1">
            <a:gsLst>
              <a:gs pos="0">
                <a:srgbClr val="FFCC00"/>
              </a:gs>
              <a:gs pos="100000">
                <a:schemeClr val="bg1">
                  <a:lumMod val="95000"/>
                  <a:alpha val="50000"/>
                </a:schemeClr>
              </a:gs>
            </a:gsLst>
            <a:lin ang="5400000" scaled="1"/>
            <a:tileRect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50800" cap="rnd">
            <a:gradFill flip="none" rotWithShape="1">
              <a:gsLst>
                <a:gs pos="0">
                  <a:srgbClr val="FF3300"/>
                </a:gs>
                <a:gs pos="100000">
                  <a:srgbClr val="C00000"/>
                </a:gs>
              </a:gsLst>
              <a:lin ang="10800000" scaled="1"/>
              <a:tileRect/>
            </a:gra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solidFill>
                      <a:schemeClr val="bg1"/>
                    </a:solidFill>
                  </a:ln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50800" cap="rnd">
            <a:gradFill flip="none" rotWithShape="1">
              <a:gsLst>
                <a:gs pos="0">
                  <a:srgbClr val="FF3300"/>
                </a:gs>
                <a:gs pos="100000">
                  <a:srgbClr val="C00000"/>
                </a:gs>
              </a:gsLst>
              <a:lin ang="10800000" scaled="1"/>
              <a:tileRect/>
            </a:gra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2.4863344056692781E-2"/>
              <c:y val="7.61133525594463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solidFill>
                      <a:schemeClr val="bg1"/>
                    </a:solidFill>
                  </a:ln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50800" cap="rnd">
            <a:gradFill flip="none" rotWithShape="1">
              <a:gsLst>
                <a:gs pos="0">
                  <a:srgbClr val="FF3300"/>
                </a:gs>
                <a:gs pos="100000">
                  <a:srgbClr val="C00000"/>
                </a:gs>
              </a:gsLst>
              <a:lin ang="10800000" scaled="1"/>
              <a:tileRect/>
            </a:gra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0"/>
              <c:y val="-3.551956452774161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solidFill>
                      <a:schemeClr val="bg1"/>
                    </a:solidFill>
                  </a:ln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1196068191446078E-2"/>
          <c:y val="4.6296296296296294E-2"/>
          <c:w val="0.94051927797465562"/>
          <c:h val="0.8416746864975212"/>
        </c:manualLayout>
      </c:layout>
      <c:areaChart>
        <c:grouping val="standard"/>
        <c:varyColors val="0"/>
        <c:ser>
          <c:idx val="0"/>
          <c:order val="0"/>
          <c:tx>
            <c:strRef>
              <c:f>Cálculos!$B$53</c:f>
              <c:strCache>
                <c:ptCount val="1"/>
                <c:pt idx="0">
                  <c:v>Soma de Custo de produção</c:v>
                </c:pt>
              </c:strCache>
            </c:strRef>
          </c:tx>
          <c:spPr>
            <a:gradFill flip="none" rotWithShape="1">
              <a:gsLst>
                <a:gs pos="0">
                  <a:srgbClr val="FFCC00"/>
                </a:gs>
                <a:gs pos="100000">
                  <a:schemeClr val="bg1">
                    <a:lumMod val="95000"/>
                    <a:alpha val="50000"/>
                  </a:schemeClr>
                </a:gs>
              </a:gsLst>
              <a:lin ang="5400000" scaled="1"/>
              <a:tileRect/>
            </a:gradFill>
            <a:ln>
              <a:noFill/>
            </a:ln>
            <a:effectLst/>
          </c:spPr>
          <c:cat>
            <c:strRef>
              <c:f>Cálculos!$A$54:$A$66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Cálculos!$B$54:$B$66</c:f>
              <c:numCache>
                <c:formatCode>_("R$"* #,##0.00_);_("R$"* \(#,##0.00\);_("R$"* "-"??_);_(@_)</c:formatCode>
                <c:ptCount val="12"/>
                <c:pt idx="0">
                  <c:v>16921</c:v>
                </c:pt>
                <c:pt idx="1">
                  <c:v>17133</c:v>
                </c:pt>
                <c:pt idx="2">
                  <c:v>17978</c:v>
                </c:pt>
                <c:pt idx="3">
                  <c:v>16951</c:v>
                </c:pt>
                <c:pt idx="4">
                  <c:v>16036</c:v>
                </c:pt>
                <c:pt idx="5">
                  <c:v>19089</c:v>
                </c:pt>
                <c:pt idx="6">
                  <c:v>21087</c:v>
                </c:pt>
                <c:pt idx="7">
                  <c:v>18655</c:v>
                </c:pt>
                <c:pt idx="8">
                  <c:v>20092</c:v>
                </c:pt>
                <c:pt idx="9">
                  <c:v>17295</c:v>
                </c:pt>
                <c:pt idx="10">
                  <c:v>15574</c:v>
                </c:pt>
                <c:pt idx="11">
                  <c:v>20202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04-4704-A028-3E6BA9638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6266496"/>
        <c:axId val="656271536"/>
      </c:areaChart>
      <c:lineChart>
        <c:grouping val="standard"/>
        <c:varyColors val="0"/>
        <c:ser>
          <c:idx val="1"/>
          <c:order val="1"/>
          <c:tx>
            <c:strRef>
              <c:f>Cálculos!$C$53</c:f>
              <c:strCache>
                <c:ptCount val="1"/>
                <c:pt idx="0">
                  <c:v>Soma de Custo de produção2</c:v>
                </c:pt>
              </c:strCache>
            </c:strRef>
          </c:tx>
          <c:spPr>
            <a:ln w="50800" cap="rnd">
              <a:gradFill flip="none" rotWithShape="1">
                <a:gsLst>
                  <a:gs pos="0">
                    <a:srgbClr val="FF3300"/>
                  </a:gs>
                  <a:gs pos="100000">
                    <a:srgbClr val="C00000"/>
                  </a:gs>
                </a:gsLst>
                <a:lin ang="10800000" scaled="1"/>
                <a:tileRect/>
              </a:gra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2.4863344056692781E-2"/>
                  <c:y val="7.61133525594463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78B-4C00-855E-B120CD6678DF}"/>
                </c:ext>
              </c:extLst>
            </c:dLbl>
            <c:dLbl>
              <c:idx val="2"/>
              <c:layout>
                <c:manualLayout>
                  <c:x val="0"/>
                  <c:y val="-3.551956452774161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78B-4C00-855E-B120CD6678D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bg1"/>
                      </a:solidFill>
                    </a:ln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Cálculos!$A$54:$A$66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Cálculos!$C$54:$C$66</c:f>
              <c:numCache>
                <c:formatCode>_("R$"* #,##0.00_);_("R$"* \(#,##0.00\);_("R$"* "-"??_);_(@_)</c:formatCode>
                <c:ptCount val="12"/>
                <c:pt idx="0">
                  <c:v>16921</c:v>
                </c:pt>
                <c:pt idx="1">
                  <c:v>17133</c:v>
                </c:pt>
                <c:pt idx="2">
                  <c:v>17978</c:v>
                </c:pt>
                <c:pt idx="3">
                  <c:v>16951</c:v>
                </c:pt>
                <c:pt idx="4">
                  <c:v>16036</c:v>
                </c:pt>
                <c:pt idx="5">
                  <c:v>19089</c:v>
                </c:pt>
                <c:pt idx="6">
                  <c:v>21087</c:v>
                </c:pt>
                <c:pt idx="7">
                  <c:v>18655</c:v>
                </c:pt>
                <c:pt idx="8">
                  <c:v>20092</c:v>
                </c:pt>
                <c:pt idx="9">
                  <c:v>17295</c:v>
                </c:pt>
                <c:pt idx="10">
                  <c:v>15574</c:v>
                </c:pt>
                <c:pt idx="11">
                  <c:v>20202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3904-4704-A028-3E6BA9638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266496"/>
        <c:axId val="656271536"/>
      </c:lineChart>
      <c:catAx>
        <c:axId val="656266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6271536"/>
        <c:crosses val="autoZero"/>
        <c:auto val="1"/>
        <c:lblAlgn val="ctr"/>
        <c:lblOffset val="100"/>
        <c:noMultiLvlLbl val="0"/>
      </c:catAx>
      <c:valAx>
        <c:axId val="656271536"/>
        <c:scaling>
          <c:orientation val="minMax"/>
        </c:scaling>
        <c:delete val="1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656266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svg"/><Relationship Id="rId13" Type="http://schemas.openxmlformats.org/officeDocument/2006/relationships/image" Target="../media/image7.png"/><Relationship Id="rId3" Type="http://schemas.openxmlformats.org/officeDocument/2006/relationships/chart" Target="../charts/chart4.xml"/><Relationship Id="rId7" Type="http://schemas.openxmlformats.org/officeDocument/2006/relationships/image" Target="../media/image1.png"/><Relationship Id="rId12" Type="http://schemas.openxmlformats.org/officeDocument/2006/relationships/image" Target="../media/image6.svg"/><Relationship Id="rId2" Type="http://schemas.openxmlformats.org/officeDocument/2006/relationships/chart" Target="../charts/chart3.xml"/><Relationship Id="rId16" Type="http://schemas.openxmlformats.org/officeDocument/2006/relationships/image" Target="../media/image10.svg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5.png"/><Relationship Id="rId5" Type="http://schemas.openxmlformats.org/officeDocument/2006/relationships/chart" Target="../charts/chart6.xml"/><Relationship Id="rId15" Type="http://schemas.openxmlformats.org/officeDocument/2006/relationships/image" Target="../media/image9.png"/><Relationship Id="rId10" Type="http://schemas.openxmlformats.org/officeDocument/2006/relationships/image" Target="../media/image4.svg"/><Relationship Id="rId4" Type="http://schemas.openxmlformats.org/officeDocument/2006/relationships/chart" Target="../charts/chart5.xml"/><Relationship Id="rId9" Type="http://schemas.openxmlformats.org/officeDocument/2006/relationships/image" Target="../media/image3.png"/><Relationship Id="rId14" Type="http://schemas.openxmlformats.org/officeDocument/2006/relationships/image" Target="../media/image8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904875</xdr:colOff>
      <xdr:row>51</xdr:row>
      <xdr:rowOff>128587</xdr:rowOff>
    </xdr:from>
    <xdr:to>
      <xdr:col>5</xdr:col>
      <xdr:colOff>381000</xdr:colOff>
      <xdr:row>66</xdr:row>
      <xdr:rowOff>14287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DB983F2-49FE-7472-7A9B-E5B3E3246A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47625</xdr:colOff>
      <xdr:row>77</xdr:row>
      <xdr:rowOff>180975</xdr:rowOff>
    </xdr:from>
    <xdr:to>
      <xdr:col>9</xdr:col>
      <xdr:colOff>571500</xdr:colOff>
      <xdr:row>91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es (Data) 1">
              <a:extLst>
                <a:ext uri="{FF2B5EF4-FFF2-40B4-BE49-F238E27FC236}">
                  <a16:creationId xmlns:a16="http://schemas.microsoft.com/office/drawing/2014/main" id="{52CCDA01-C12D-006D-9628-98525A25A14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Data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867775" y="148494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105833</xdr:colOff>
      <xdr:row>0</xdr:row>
      <xdr:rowOff>105832</xdr:rowOff>
    </xdr:from>
    <xdr:to>
      <xdr:col>1</xdr:col>
      <xdr:colOff>529167</xdr:colOff>
      <xdr:row>35</xdr:row>
      <xdr:rowOff>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4D145D6-CCA0-8790-BD09-E03B72B2883C}"/>
            </a:ext>
          </a:extLst>
        </xdr:cNvPr>
        <xdr:cNvSpPr/>
      </xdr:nvSpPr>
      <xdr:spPr>
        <a:xfrm>
          <a:off x="105833" y="105832"/>
          <a:ext cx="1031313" cy="6632599"/>
        </a:xfrm>
        <a:prstGeom prst="roundRect">
          <a:avLst/>
        </a:prstGeom>
        <a:solidFill>
          <a:srgbClr val="0099C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165066</xdr:colOff>
      <xdr:row>19</xdr:row>
      <xdr:rowOff>74083</xdr:rowOff>
    </xdr:from>
    <xdr:to>
      <xdr:col>10</xdr:col>
      <xdr:colOff>294400</xdr:colOff>
      <xdr:row>34</xdr:row>
      <xdr:rowOff>96583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62C45E6D-51A0-465C-A239-B42693A670C2}"/>
            </a:ext>
          </a:extLst>
        </xdr:cNvPr>
        <xdr:cNvSpPr/>
      </xdr:nvSpPr>
      <xdr:spPr>
        <a:xfrm>
          <a:off x="1384266" y="3693583"/>
          <a:ext cx="5006134" cy="2880000"/>
        </a:xfrm>
        <a:prstGeom prst="roundRect">
          <a:avLst/>
        </a:prstGeom>
        <a:solidFill>
          <a:srgbClr val="0099C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165066</xdr:colOff>
      <xdr:row>8</xdr:row>
      <xdr:rowOff>105832</xdr:rowOff>
    </xdr:from>
    <xdr:to>
      <xdr:col>10</xdr:col>
      <xdr:colOff>294400</xdr:colOff>
      <xdr:row>18</xdr:row>
      <xdr:rowOff>90832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199F63A-9582-2691-28FF-A8993F6BD579}"/>
            </a:ext>
          </a:extLst>
        </xdr:cNvPr>
        <xdr:cNvSpPr/>
      </xdr:nvSpPr>
      <xdr:spPr>
        <a:xfrm>
          <a:off x="1381023" y="1646045"/>
          <a:ext cx="4993164" cy="1910266"/>
        </a:xfrm>
        <a:prstGeom prst="roundRect">
          <a:avLst/>
        </a:prstGeom>
        <a:solidFill>
          <a:srgbClr val="0099C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0</xdr:colOff>
      <xdr:row>8</xdr:row>
      <xdr:rowOff>105832</xdr:rowOff>
    </xdr:from>
    <xdr:to>
      <xdr:col>17</xdr:col>
      <xdr:colOff>277000</xdr:colOff>
      <xdr:row>18</xdr:row>
      <xdr:rowOff>90832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4091B49C-69EF-FF9F-EF78-D65082064486}"/>
            </a:ext>
          </a:extLst>
        </xdr:cNvPr>
        <xdr:cNvSpPr/>
      </xdr:nvSpPr>
      <xdr:spPr>
        <a:xfrm>
          <a:off x="6600825" y="1629832"/>
          <a:ext cx="3934600" cy="1890000"/>
        </a:xfrm>
        <a:prstGeom prst="roundRect">
          <a:avLst/>
        </a:prstGeom>
        <a:solidFill>
          <a:srgbClr val="0099C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0</xdr:colOff>
      <xdr:row>19</xdr:row>
      <xdr:rowOff>74083</xdr:rowOff>
    </xdr:from>
    <xdr:to>
      <xdr:col>17</xdr:col>
      <xdr:colOff>277000</xdr:colOff>
      <xdr:row>34</xdr:row>
      <xdr:rowOff>96583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9DD17CB4-B4DB-639A-0543-B49BAB33D5DB}"/>
            </a:ext>
          </a:extLst>
        </xdr:cNvPr>
        <xdr:cNvSpPr/>
      </xdr:nvSpPr>
      <xdr:spPr>
        <a:xfrm>
          <a:off x="6600825" y="3693583"/>
          <a:ext cx="3934600" cy="2880000"/>
        </a:xfrm>
        <a:prstGeom prst="roundRect">
          <a:avLst/>
        </a:prstGeom>
        <a:solidFill>
          <a:srgbClr val="0099C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243582</xdr:colOff>
      <xdr:row>0</xdr:row>
      <xdr:rowOff>105832</xdr:rowOff>
    </xdr:from>
    <xdr:to>
      <xdr:col>22</xdr:col>
      <xdr:colOff>360000</xdr:colOff>
      <xdr:row>7</xdr:row>
      <xdr:rowOff>148165</xdr:rowOff>
    </xdr:to>
    <xdr:sp macro="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51351946-D070-93EB-2E2A-0BDF83A44978}"/>
            </a:ext>
          </a:extLst>
        </xdr:cNvPr>
        <xdr:cNvSpPr/>
      </xdr:nvSpPr>
      <xdr:spPr>
        <a:xfrm>
          <a:off x="11197332" y="105832"/>
          <a:ext cx="2440518" cy="1375833"/>
        </a:xfrm>
        <a:prstGeom prst="roundRect">
          <a:avLst/>
        </a:prstGeom>
        <a:solidFill>
          <a:srgbClr val="0099C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549167</xdr:colOff>
      <xdr:row>8</xdr:row>
      <xdr:rowOff>158750</xdr:rowOff>
    </xdr:from>
    <xdr:to>
      <xdr:col>22</xdr:col>
      <xdr:colOff>360000</xdr:colOff>
      <xdr:row>34</xdr:row>
      <xdr:rowOff>84667</xdr:rowOff>
    </xdr:to>
    <xdr:sp macro="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A6664570-C4CE-7C66-EFB3-8D2E1356711E}"/>
            </a:ext>
          </a:extLst>
        </xdr:cNvPr>
        <xdr:cNvSpPr/>
      </xdr:nvSpPr>
      <xdr:spPr>
        <a:xfrm>
          <a:off x="10878500" y="1682750"/>
          <a:ext cx="2880000" cy="4878917"/>
        </a:xfrm>
        <a:prstGeom prst="roundRect">
          <a:avLst/>
        </a:prstGeom>
        <a:solidFill>
          <a:srgbClr val="0099C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461162</xdr:colOff>
      <xdr:row>1</xdr:row>
      <xdr:rowOff>96151</xdr:rowOff>
    </xdr:from>
    <xdr:to>
      <xdr:col>9</xdr:col>
      <xdr:colOff>121595</xdr:colOff>
      <xdr:row>5</xdr:row>
      <xdr:rowOff>43234</xdr:rowOff>
    </xdr:to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2C63661F-233C-CC31-620D-31AD6DD49983}"/>
            </a:ext>
          </a:extLst>
        </xdr:cNvPr>
        <xdr:cNvSpPr txBox="1"/>
      </xdr:nvSpPr>
      <xdr:spPr>
        <a:xfrm>
          <a:off x="2893077" y="288678"/>
          <a:ext cx="2700327" cy="7171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2400">
              <a:solidFill>
                <a:schemeClr val="bg1"/>
              </a:solidFill>
            </a:rPr>
            <a:t>Raio-X das Equipes</a:t>
          </a:r>
        </a:p>
      </xdr:txBody>
    </xdr:sp>
    <xdr:clientData/>
  </xdr:twoCellAnchor>
  <xdr:twoCellAnchor>
    <xdr:from>
      <xdr:col>4</xdr:col>
      <xdr:colOff>471295</xdr:colOff>
      <xdr:row>3</xdr:row>
      <xdr:rowOff>117318</xdr:rowOff>
    </xdr:from>
    <xdr:to>
      <xdr:col>9</xdr:col>
      <xdr:colOff>111462</xdr:colOff>
      <xdr:row>5</xdr:row>
      <xdr:rowOff>22067</xdr:rowOff>
    </xdr:to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D203F043-C1AC-D731-E3D0-B626A34ED772}"/>
            </a:ext>
          </a:extLst>
        </xdr:cNvPr>
        <xdr:cNvSpPr txBox="1"/>
      </xdr:nvSpPr>
      <xdr:spPr>
        <a:xfrm>
          <a:off x="2903210" y="694898"/>
          <a:ext cx="2680061" cy="2898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600">
              <a:solidFill>
                <a:schemeClr val="bg1"/>
              </a:solidFill>
            </a:rPr>
            <a:t>Relatórion de produção</a:t>
          </a:r>
        </a:p>
      </xdr:txBody>
    </xdr:sp>
    <xdr:clientData/>
  </xdr:twoCellAnchor>
  <xdr:twoCellAnchor>
    <xdr:from>
      <xdr:col>4</xdr:col>
      <xdr:colOff>433916</xdr:colOff>
      <xdr:row>5</xdr:row>
      <xdr:rowOff>183296</xdr:rowOff>
    </xdr:from>
    <xdr:to>
      <xdr:col>5</xdr:col>
      <xdr:colOff>190499</xdr:colOff>
      <xdr:row>7</xdr:row>
      <xdr:rowOff>107186</xdr:rowOff>
    </xdr:to>
    <xdr:sp macro="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F6301AFE-4F41-11A5-354B-D866ACDC4A4A}"/>
            </a:ext>
          </a:extLst>
        </xdr:cNvPr>
        <xdr:cNvSpPr/>
      </xdr:nvSpPr>
      <xdr:spPr>
        <a:xfrm>
          <a:off x="2865831" y="1145929"/>
          <a:ext cx="364562" cy="308943"/>
        </a:xfrm>
        <a:prstGeom prst="roundRect">
          <a:avLst/>
        </a:prstGeom>
        <a:solidFill>
          <a:srgbClr val="FFCC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116416</xdr:colOff>
      <xdr:row>5</xdr:row>
      <xdr:rowOff>183296</xdr:rowOff>
    </xdr:from>
    <xdr:to>
      <xdr:col>7</xdr:col>
      <xdr:colOff>486832</xdr:colOff>
      <xdr:row>7</xdr:row>
      <xdr:rowOff>107186</xdr:rowOff>
    </xdr:to>
    <xdr:sp macro="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6629AC3C-383D-3C9B-3CFD-D01E025D3008}"/>
            </a:ext>
          </a:extLst>
        </xdr:cNvPr>
        <xdr:cNvSpPr/>
      </xdr:nvSpPr>
      <xdr:spPr>
        <a:xfrm>
          <a:off x="4372267" y="1145929"/>
          <a:ext cx="370416" cy="308943"/>
        </a:xfrm>
        <a:prstGeom prst="roundRect">
          <a:avLst/>
        </a:prstGeom>
        <a:solidFill>
          <a:srgbClr val="FF33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148165</xdr:colOff>
      <xdr:row>6</xdr:row>
      <xdr:rowOff>1353</xdr:rowOff>
    </xdr:from>
    <xdr:to>
      <xdr:col>6</xdr:col>
      <xdr:colOff>603250</xdr:colOff>
      <xdr:row>7</xdr:row>
      <xdr:rowOff>96602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9B2E2F4A-7CCF-5822-A0AE-22372A317B1E}"/>
            </a:ext>
          </a:extLst>
        </xdr:cNvPr>
        <xdr:cNvSpPr txBox="1"/>
      </xdr:nvSpPr>
      <xdr:spPr>
        <a:xfrm>
          <a:off x="3188059" y="1156513"/>
          <a:ext cx="1063063" cy="2877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600">
              <a:solidFill>
                <a:schemeClr val="bg1"/>
              </a:solidFill>
            </a:rPr>
            <a:t>Equipe 01</a:t>
          </a:r>
        </a:p>
      </xdr:txBody>
    </xdr:sp>
    <xdr:clientData/>
  </xdr:twoCellAnchor>
  <xdr:twoCellAnchor>
    <xdr:from>
      <xdr:col>7</xdr:col>
      <xdr:colOff>603248</xdr:colOff>
      <xdr:row>6</xdr:row>
      <xdr:rowOff>1353</xdr:rowOff>
    </xdr:from>
    <xdr:to>
      <xdr:col>9</xdr:col>
      <xdr:colOff>560915</xdr:colOff>
      <xdr:row>7</xdr:row>
      <xdr:rowOff>96602</xdr:rowOff>
    </xdr:to>
    <xdr:sp macro="" textlink="">
      <xdr:nvSpPr>
        <xdr:cNvPr id="16" name="CaixaDeTexto 15">
          <a:extLst>
            <a:ext uri="{FF2B5EF4-FFF2-40B4-BE49-F238E27FC236}">
              <a16:creationId xmlns:a16="http://schemas.microsoft.com/office/drawing/2014/main" id="{3E909551-A186-AF7F-DB09-33A45962CDA6}"/>
            </a:ext>
          </a:extLst>
        </xdr:cNvPr>
        <xdr:cNvSpPr txBox="1"/>
      </xdr:nvSpPr>
      <xdr:spPr>
        <a:xfrm>
          <a:off x="4859099" y="1156513"/>
          <a:ext cx="1173625" cy="2877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600">
              <a:solidFill>
                <a:schemeClr val="bg1"/>
              </a:solidFill>
            </a:rPr>
            <a:t>Equipe 02</a:t>
          </a:r>
        </a:p>
      </xdr:txBody>
    </xdr:sp>
    <xdr:clientData/>
  </xdr:twoCellAnchor>
  <xdr:twoCellAnchor>
    <xdr:from>
      <xdr:col>14</xdr:col>
      <xdr:colOff>163595</xdr:colOff>
      <xdr:row>0</xdr:row>
      <xdr:rowOff>105832</xdr:rowOff>
    </xdr:from>
    <xdr:to>
      <xdr:col>18</xdr:col>
      <xdr:colOff>79988</xdr:colOff>
      <xdr:row>7</xdr:row>
      <xdr:rowOff>148165</xdr:rowOff>
    </xdr:to>
    <xdr:sp macro="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3C82E0D2-ECE1-61A7-B0BE-2CF9C22F3A73}"/>
            </a:ext>
          </a:extLst>
        </xdr:cNvPr>
        <xdr:cNvSpPr/>
      </xdr:nvSpPr>
      <xdr:spPr>
        <a:xfrm>
          <a:off x="8593220" y="105832"/>
          <a:ext cx="2440518" cy="1375833"/>
        </a:xfrm>
        <a:prstGeom prst="roundRect">
          <a:avLst/>
        </a:prstGeom>
        <a:solidFill>
          <a:srgbClr val="0099C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502707</xdr:colOff>
      <xdr:row>0</xdr:row>
      <xdr:rowOff>105832</xdr:rowOff>
    </xdr:from>
    <xdr:to>
      <xdr:col>14</xdr:col>
      <xdr:colOff>0</xdr:colOff>
      <xdr:row>7</xdr:row>
      <xdr:rowOff>148165</xdr:rowOff>
    </xdr:to>
    <xdr:sp macro="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2EC97997-BFD2-9F82-3691-9259759FA4BA}"/>
            </a:ext>
          </a:extLst>
        </xdr:cNvPr>
        <xdr:cNvSpPr/>
      </xdr:nvSpPr>
      <xdr:spPr>
        <a:xfrm>
          <a:off x="5989107" y="105832"/>
          <a:ext cx="2440518" cy="1375833"/>
        </a:xfrm>
        <a:prstGeom prst="roundRect">
          <a:avLst/>
        </a:prstGeom>
        <a:solidFill>
          <a:srgbClr val="0099C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325966</xdr:colOff>
      <xdr:row>8</xdr:row>
      <xdr:rowOff>95251</xdr:rowOff>
    </xdr:from>
    <xdr:to>
      <xdr:col>5</xdr:col>
      <xdr:colOff>0</xdr:colOff>
      <xdr:row>10</xdr:row>
      <xdr:rowOff>0</xdr:rowOff>
    </xdr:to>
    <xdr:sp macro="" textlink="">
      <xdr:nvSpPr>
        <xdr:cNvPr id="20" name="CaixaDeTexto 19">
          <a:extLst>
            <a:ext uri="{FF2B5EF4-FFF2-40B4-BE49-F238E27FC236}">
              <a16:creationId xmlns:a16="http://schemas.microsoft.com/office/drawing/2014/main" id="{EDFA15A5-19D4-BDF1-88E7-658E47FD246D}"/>
            </a:ext>
          </a:extLst>
        </xdr:cNvPr>
        <xdr:cNvSpPr txBox="1"/>
      </xdr:nvSpPr>
      <xdr:spPr>
        <a:xfrm>
          <a:off x="1545166" y="1619251"/>
          <a:ext cx="1502834" cy="2857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>
              <a:solidFill>
                <a:schemeClr val="bg1"/>
              </a:solidFill>
            </a:rPr>
            <a:t>Análise por Canal</a:t>
          </a:r>
        </a:p>
      </xdr:txBody>
    </xdr:sp>
    <xdr:clientData/>
  </xdr:twoCellAnchor>
  <xdr:twoCellAnchor>
    <xdr:from>
      <xdr:col>10</xdr:col>
      <xdr:colOff>0</xdr:colOff>
      <xdr:row>0</xdr:row>
      <xdr:rowOff>104775</xdr:rowOff>
    </xdr:from>
    <xdr:to>
      <xdr:col>12</xdr:col>
      <xdr:colOff>388409</xdr:colOff>
      <xdr:row>2</xdr:row>
      <xdr:rowOff>9524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0A65A5C7-58A4-5B06-0A2D-0F51CD4E4520}"/>
            </a:ext>
          </a:extLst>
        </xdr:cNvPr>
        <xdr:cNvSpPr txBox="1"/>
      </xdr:nvSpPr>
      <xdr:spPr>
        <a:xfrm>
          <a:off x="6096000" y="104775"/>
          <a:ext cx="1502834" cy="2857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>
              <a:solidFill>
                <a:schemeClr val="bg1"/>
              </a:solidFill>
            </a:rPr>
            <a:t>Equipe 01</a:t>
          </a:r>
        </a:p>
      </xdr:txBody>
    </xdr:sp>
    <xdr:clientData/>
  </xdr:twoCellAnchor>
  <xdr:twoCellAnchor>
    <xdr:from>
      <xdr:col>14</xdr:col>
      <xdr:colOff>325966</xdr:colOff>
      <xdr:row>0</xdr:row>
      <xdr:rowOff>104775</xdr:rowOff>
    </xdr:from>
    <xdr:to>
      <xdr:col>17</xdr:col>
      <xdr:colOff>0</xdr:colOff>
      <xdr:row>2</xdr:row>
      <xdr:rowOff>9524</xdr:rowOff>
    </xdr:to>
    <xdr:sp macro="" textlink="">
      <xdr:nvSpPr>
        <xdr:cNvPr id="22" name="CaixaDeTexto 21">
          <a:extLst>
            <a:ext uri="{FF2B5EF4-FFF2-40B4-BE49-F238E27FC236}">
              <a16:creationId xmlns:a16="http://schemas.microsoft.com/office/drawing/2014/main" id="{D642E50B-4A00-8136-3669-AFFB19C843B5}"/>
            </a:ext>
          </a:extLst>
        </xdr:cNvPr>
        <xdr:cNvSpPr txBox="1"/>
      </xdr:nvSpPr>
      <xdr:spPr>
        <a:xfrm>
          <a:off x="8755591" y="104775"/>
          <a:ext cx="1502834" cy="2857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>
              <a:solidFill>
                <a:schemeClr val="bg1"/>
              </a:solidFill>
            </a:rPr>
            <a:t>Equipe 02</a:t>
          </a:r>
        </a:p>
      </xdr:txBody>
    </xdr:sp>
    <xdr:clientData/>
  </xdr:twoCellAnchor>
  <xdr:twoCellAnchor>
    <xdr:from>
      <xdr:col>18</xdr:col>
      <xdr:colOff>230716</xdr:colOff>
      <xdr:row>0</xdr:row>
      <xdr:rowOff>95251</xdr:rowOff>
    </xdr:from>
    <xdr:to>
      <xdr:col>22</xdr:col>
      <xdr:colOff>0</xdr:colOff>
      <xdr:row>2</xdr:row>
      <xdr:rowOff>0</xdr:rowOff>
    </xdr:to>
    <xdr:sp macro="" textlink="">
      <xdr:nvSpPr>
        <xdr:cNvPr id="23" name="CaixaDeTexto 22">
          <a:extLst>
            <a:ext uri="{FF2B5EF4-FFF2-40B4-BE49-F238E27FC236}">
              <a16:creationId xmlns:a16="http://schemas.microsoft.com/office/drawing/2014/main" id="{B1080E53-317E-41BE-B509-6491C214166F}"/>
            </a:ext>
          </a:extLst>
        </xdr:cNvPr>
        <xdr:cNvSpPr txBox="1"/>
      </xdr:nvSpPr>
      <xdr:spPr>
        <a:xfrm>
          <a:off x="11184466" y="95251"/>
          <a:ext cx="2093384" cy="2857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>
              <a:solidFill>
                <a:schemeClr val="bg1"/>
              </a:solidFill>
            </a:rPr>
            <a:t>Desempenho equipes</a:t>
          </a:r>
        </a:p>
        <a:p>
          <a:endParaRPr lang="pt-BR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325966</xdr:colOff>
      <xdr:row>19</xdr:row>
      <xdr:rowOff>95251</xdr:rowOff>
    </xdr:from>
    <xdr:to>
      <xdr:col>8</xdr:col>
      <xdr:colOff>0</xdr:colOff>
      <xdr:row>21</xdr:row>
      <xdr:rowOff>0</xdr:rowOff>
    </xdr:to>
    <xdr:sp macro="" textlink="">
      <xdr:nvSpPr>
        <xdr:cNvPr id="24" name="CaixaDeTexto 23">
          <a:extLst>
            <a:ext uri="{FF2B5EF4-FFF2-40B4-BE49-F238E27FC236}">
              <a16:creationId xmlns:a16="http://schemas.microsoft.com/office/drawing/2014/main" id="{334BEFF8-7325-7048-9927-E7EE6687678F}"/>
            </a:ext>
          </a:extLst>
        </xdr:cNvPr>
        <xdr:cNvSpPr txBox="1"/>
      </xdr:nvSpPr>
      <xdr:spPr>
        <a:xfrm>
          <a:off x="1545166" y="3714751"/>
          <a:ext cx="3331634" cy="2857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>
              <a:solidFill>
                <a:schemeClr val="bg1"/>
              </a:solidFill>
            </a:rPr>
            <a:t>Custo Mensal</a:t>
          </a:r>
          <a:r>
            <a:rPr lang="pt-BR" sz="1400" baseline="0">
              <a:solidFill>
                <a:schemeClr val="bg1"/>
              </a:solidFill>
            </a:rPr>
            <a:t> por Produção</a:t>
          </a:r>
          <a:endParaRPr lang="pt-BR" sz="140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104775</xdr:rowOff>
    </xdr:from>
    <xdr:to>
      <xdr:col>17</xdr:col>
      <xdr:colOff>0</xdr:colOff>
      <xdr:row>10</xdr:row>
      <xdr:rowOff>9524</xdr:rowOff>
    </xdr:to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6D2C9EEB-F4F4-67A7-B770-B3BC85FB43BA}"/>
            </a:ext>
          </a:extLst>
        </xdr:cNvPr>
        <xdr:cNvSpPr txBox="1"/>
      </xdr:nvSpPr>
      <xdr:spPr>
        <a:xfrm>
          <a:off x="6600825" y="1628775"/>
          <a:ext cx="3657600" cy="2857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>
              <a:solidFill>
                <a:schemeClr val="bg1"/>
              </a:solidFill>
            </a:rPr>
            <a:t>Equipe</a:t>
          </a:r>
          <a:r>
            <a:rPr lang="pt-BR" sz="1400" baseline="0">
              <a:solidFill>
                <a:schemeClr val="bg1"/>
              </a:solidFill>
            </a:rPr>
            <a:t> 01 x Equipe 02</a:t>
          </a:r>
          <a:endParaRPr lang="pt-BR" sz="140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142875</xdr:colOff>
      <xdr:row>19</xdr:row>
      <xdr:rowOff>95251</xdr:rowOff>
    </xdr:from>
    <xdr:to>
      <xdr:col>13</xdr:col>
      <xdr:colOff>426509</xdr:colOff>
      <xdr:row>21</xdr:row>
      <xdr:rowOff>0</xdr:rowOff>
    </xdr:to>
    <xdr:sp macro="" textlink="">
      <xdr:nvSpPr>
        <xdr:cNvPr id="26" name="CaixaDeTexto 25">
          <a:extLst>
            <a:ext uri="{FF2B5EF4-FFF2-40B4-BE49-F238E27FC236}">
              <a16:creationId xmlns:a16="http://schemas.microsoft.com/office/drawing/2014/main" id="{AE69D9A9-7DEB-ADE0-BD53-13DD12A71722}"/>
            </a:ext>
          </a:extLst>
        </xdr:cNvPr>
        <xdr:cNvSpPr txBox="1"/>
      </xdr:nvSpPr>
      <xdr:spPr>
        <a:xfrm>
          <a:off x="6743700" y="3714751"/>
          <a:ext cx="1502834" cy="2857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>
              <a:solidFill>
                <a:schemeClr val="bg1"/>
              </a:solidFill>
            </a:rPr>
            <a:t>Top 5 | Produtos</a:t>
          </a:r>
        </a:p>
      </xdr:txBody>
    </xdr:sp>
    <xdr:clientData/>
  </xdr:twoCellAnchor>
  <xdr:twoCellAnchor>
    <xdr:from>
      <xdr:col>18</xdr:col>
      <xdr:colOff>59266</xdr:colOff>
      <xdr:row>9</xdr:row>
      <xdr:rowOff>0</xdr:rowOff>
    </xdr:from>
    <xdr:to>
      <xdr:col>22</xdr:col>
      <xdr:colOff>0</xdr:colOff>
      <xdr:row>10</xdr:row>
      <xdr:rowOff>95249</xdr:rowOff>
    </xdr:to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id="{4FB8AA32-10A1-6F7F-B55E-BCD5EE6B901E}"/>
            </a:ext>
          </a:extLst>
        </xdr:cNvPr>
        <xdr:cNvSpPr txBox="1"/>
      </xdr:nvSpPr>
      <xdr:spPr>
        <a:xfrm>
          <a:off x="11013016" y="1714500"/>
          <a:ext cx="2264834" cy="2857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>
              <a:solidFill>
                <a:schemeClr val="bg1"/>
              </a:solidFill>
            </a:rPr>
            <a:t>Informações Importantes</a:t>
          </a:r>
        </a:p>
      </xdr:txBody>
    </xdr:sp>
    <xdr:clientData/>
  </xdr:twoCellAnchor>
  <xdr:twoCellAnchor>
    <xdr:from>
      <xdr:col>3</xdr:col>
      <xdr:colOff>0</xdr:colOff>
      <xdr:row>9</xdr:row>
      <xdr:rowOff>161925</xdr:rowOff>
    </xdr:from>
    <xdr:to>
      <xdr:col>10</xdr:col>
      <xdr:colOff>0</xdr:colOff>
      <xdr:row>18</xdr:row>
      <xdr:rowOff>76200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D34CEE37-261D-4797-9253-D3D398CEDB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494109</xdr:colOff>
      <xdr:row>2</xdr:row>
      <xdr:rowOff>0</xdr:rowOff>
    </xdr:from>
    <xdr:to>
      <xdr:col>23</xdr:col>
      <xdr:colOff>91124</xdr:colOff>
      <xdr:row>7</xdr:row>
      <xdr:rowOff>127500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77693110-D930-431E-B44D-43C8085EB6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607218</xdr:colOff>
      <xdr:row>2</xdr:row>
      <xdr:rowOff>36738</xdr:rowOff>
    </xdr:from>
    <xdr:to>
      <xdr:col>14</xdr:col>
      <xdr:colOff>192328</xdr:colOff>
      <xdr:row>7</xdr:row>
      <xdr:rowOff>164238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E427EAB7-7A51-4566-9B05-5F27B0CBDA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607218</xdr:colOff>
      <xdr:row>2</xdr:row>
      <xdr:rowOff>0</xdr:rowOff>
    </xdr:from>
    <xdr:to>
      <xdr:col>18</xdr:col>
      <xdr:colOff>0</xdr:colOff>
      <xdr:row>7</xdr:row>
      <xdr:rowOff>127500</xdr:rowOff>
    </xdr:to>
    <xdr:graphicFrame macro="">
      <xdr:nvGraphicFramePr>
        <xdr:cNvPr id="31" name="Gráfico 30">
          <a:extLst>
            <a:ext uri="{FF2B5EF4-FFF2-40B4-BE49-F238E27FC236}">
              <a16:creationId xmlns:a16="http://schemas.microsoft.com/office/drawing/2014/main" id="{52F0B7EA-3CCD-4DC4-99E5-A5A39BDF25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428625</xdr:colOff>
      <xdr:row>19</xdr:row>
      <xdr:rowOff>161925</xdr:rowOff>
    </xdr:from>
    <xdr:to>
      <xdr:col>17</xdr:col>
      <xdr:colOff>266700</xdr:colOff>
      <xdr:row>34</xdr:row>
      <xdr:rowOff>47625</xdr:rowOff>
    </xdr:to>
    <xdr:graphicFrame macro="">
      <xdr:nvGraphicFramePr>
        <xdr:cNvPr id="2048" name="Gráfico 2047">
          <a:extLst>
            <a:ext uri="{FF2B5EF4-FFF2-40B4-BE49-F238E27FC236}">
              <a16:creationId xmlns:a16="http://schemas.microsoft.com/office/drawing/2014/main" id="{F3B7F0FF-ECB8-4712-B665-903B321C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 fPrintsWithSheet="0"/>
  </xdr:twoCellAnchor>
  <xdr:twoCellAnchor>
    <xdr:from>
      <xdr:col>11</xdr:col>
      <xdr:colOff>118005</xdr:colOff>
      <xdr:row>10</xdr:row>
      <xdr:rowOff>87313</xdr:rowOff>
    </xdr:from>
    <xdr:to>
      <xdr:col>11</xdr:col>
      <xdr:colOff>484188</xdr:colOff>
      <xdr:row>12</xdr:row>
      <xdr:rowOff>13230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B98361AE-76E1-4098-B9EB-344E0F9A5422}"/>
            </a:ext>
          </a:extLst>
        </xdr:cNvPr>
        <xdr:cNvSpPr/>
      </xdr:nvSpPr>
      <xdr:spPr>
        <a:xfrm>
          <a:off x="6704441" y="2012579"/>
          <a:ext cx="366183" cy="31097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118005</xdr:colOff>
      <xdr:row>13</xdr:row>
      <xdr:rowOff>69056</xdr:rowOff>
    </xdr:from>
    <xdr:to>
      <xdr:col>11</xdr:col>
      <xdr:colOff>484188</xdr:colOff>
      <xdr:row>14</xdr:row>
      <xdr:rowOff>185473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DB318D27-5206-4391-AEDF-3EB8E54422E4}"/>
            </a:ext>
          </a:extLst>
        </xdr:cNvPr>
        <xdr:cNvSpPr/>
      </xdr:nvSpPr>
      <xdr:spPr>
        <a:xfrm>
          <a:off x="6704441" y="2571902"/>
          <a:ext cx="366183" cy="308943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118005</xdr:colOff>
      <xdr:row>16</xdr:row>
      <xdr:rowOff>50800</xdr:rowOff>
    </xdr:from>
    <xdr:to>
      <xdr:col>11</xdr:col>
      <xdr:colOff>484188</xdr:colOff>
      <xdr:row>17</xdr:row>
      <xdr:rowOff>167217</xdr:rowOff>
    </xdr:to>
    <xdr:sp macro="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953000DC-84CD-42D3-B047-067BA6BF7986}"/>
            </a:ext>
          </a:extLst>
        </xdr:cNvPr>
        <xdr:cNvSpPr/>
      </xdr:nvSpPr>
      <xdr:spPr>
        <a:xfrm>
          <a:off x="6704441" y="3131226"/>
          <a:ext cx="366183" cy="308943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19050</xdr:colOff>
      <xdr:row>10</xdr:row>
      <xdr:rowOff>78846</xdr:rowOff>
    </xdr:from>
    <xdr:to>
      <xdr:col>15</xdr:col>
      <xdr:colOff>571500</xdr:colOff>
      <xdr:row>12</xdr:row>
      <xdr:rowOff>21696</xdr:rowOff>
    </xdr:to>
    <xdr:sp macro="" textlink="Cálculos!F18">
      <xdr:nvSpPr>
        <xdr:cNvPr id="2049" name="CaixaDeTexto 2048">
          <a:extLst>
            <a:ext uri="{FF2B5EF4-FFF2-40B4-BE49-F238E27FC236}">
              <a16:creationId xmlns:a16="http://schemas.microsoft.com/office/drawing/2014/main" id="{2B297620-A39B-E08F-EE13-09C0D2B8AEBC}"/>
            </a:ext>
          </a:extLst>
        </xdr:cNvPr>
        <xdr:cNvSpPr txBox="1"/>
      </xdr:nvSpPr>
      <xdr:spPr>
        <a:xfrm>
          <a:off x="7229475" y="1983846"/>
          <a:ext cx="2381250" cy="323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7000D07B-0092-4040-B577-FC5D335CC953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21.712 | Equip. Elétricos | 24.327</a:t>
          </a:fld>
          <a:endParaRPr lang="pt-BR" sz="12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19050</xdr:colOff>
      <xdr:row>13</xdr:row>
      <xdr:rowOff>48948</xdr:rowOff>
    </xdr:from>
    <xdr:to>
      <xdr:col>15</xdr:col>
      <xdr:colOff>571500</xdr:colOff>
      <xdr:row>14</xdr:row>
      <xdr:rowOff>182298</xdr:rowOff>
    </xdr:to>
    <xdr:sp macro="" textlink="Cálculos!F19">
      <xdr:nvSpPr>
        <xdr:cNvPr id="2051" name="CaixaDeTexto 2050">
          <a:extLst>
            <a:ext uri="{FF2B5EF4-FFF2-40B4-BE49-F238E27FC236}">
              <a16:creationId xmlns:a16="http://schemas.microsoft.com/office/drawing/2014/main" id="{CCF85BD5-E112-BD66-0A50-CFD4B9A4C407}"/>
            </a:ext>
          </a:extLst>
        </xdr:cNvPr>
        <xdr:cNvSpPr txBox="1"/>
      </xdr:nvSpPr>
      <xdr:spPr>
        <a:xfrm>
          <a:off x="7229475" y="2525448"/>
          <a:ext cx="2381250" cy="323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F5551B79-B68C-4998-B664-F1CC4F053AEE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23.018 | Iluminação | 23.543</a:t>
          </a:fld>
          <a:endParaRPr lang="pt-BR" sz="12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19050</xdr:colOff>
      <xdr:row>16</xdr:row>
      <xdr:rowOff>19050</xdr:rowOff>
    </xdr:from>
    <xdr:to>
      <xdr:col>15</xdr:col>
      <xdr:colOff>571500</xdr:colOff>
      <xdr:row>17</xdr:row>
      <xdr:rowOff>152400</xdr:rowOff>
    </xdr:to>
    <xdr:sp macro="" textlink="Cálculos!F20">
      <xdr:nvSpPr>
        <xdr:cNvPr id="2053" name="CaixaDeTexto 2052">
          <a:extLst>
            <a:ext uri="{FF2B5EF4-FFF2-40B4-BE49-F238E27FC236}">
              <a16:creationId xmlns:a16="http://schemas.microsoft.com/office/drawing/2014/main" id="{CB3840C3-D4BB-2F66-C9B7-AD05B7DACDD5}"/>
            </a:ext>
          </a:extLst>
        </xdr:cNvPr>
        <xdr:cNvSpPr txBox="1"/>
      </xdr:nvSpPr>
      <xdr:spPr>
        <a:xfrm>
          <a:off x="7229475" y="3067050"/>
          <a:ext cx="2381250" cy="323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81C7A69-120B-446E-A5D8-6E7F8386472E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23.554 | Materiais Elétricos | 22.969</a:t>
          </a:fld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18</xdr:col>
      <xdr:colOff>438150</xdr:colOff>
      <xdr:row>3</xdr:row>
      <xdr:rowOff>66675</xdr:rowOff>
    </xdr:from>
    <xdr:to>
      <xdr:col>21</xdr:col>
      <xdr:colOff>514350</xdr:colOff>
      <xdr:row>5</xdr:row>
      <xdr:rowOff>28575</xdr:rowOff>
    </xdr:to>
    <xdr:sp macro="" textlink="">
      <xdr:nvSpPr>
        <xdr:cNvPr id="2075" name="Fluxograma: Terminação 2074">
          <a:extLst>
            <a:ext uri="{FF2B5EF4-FFF2-40B4-BE49-F238E27FC236}">
              <a16:creationId xmlns:a16="http://schemas.microsoft.com/office/drawing/2014/main" id="{141B7373-7239-8925-FF79-C12759128333}"/>
            </a:ext>
          </a:extLst>
        </xdr:cNvPr>
        <xdr:cNvSpPr/>
      </xdr:nvSpPr>
      <xdr:spPr>
        <a:xfrm>
          <a:off x="11391900" y="638175"/>
          <a:ext cx="1790700" cy="342900"/>
        </a:xfrm>
        <a:prstGeom prst="flowChartTerminator">
          <a:avLst/>
        </a:prstGeom>
        <a:noFill/>
        <a:ln w="114300">
          <a:solidFill>
            <a:srgbClr val="0099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352425</xdr:colOff>
      <xdr:row>20</xdr:row>
      <xdr:rowOff>171450</xdr:rowOff>
    </xdr:from>
    <xdr:to>
      <xdr:col>10</xdr:col>
      <xdr:colOff>85724</xdr:colOff>
      <xdr:row>33</xdr:row>
      <xdr:rowOff>171450</xdr:rowOff>
    </xdr:to>
    <xdr:graphicFrame macro="">
      <xdr:nvGraphicFramePr>
        <xdr:cNvPr id="2077" name="Gráfico 2076">
          <a:extLst>
            <a:ext uri="{FF2B5EF4-FFF2-40B4-BE49-F238E27FC236}">
              <a16:creationId xmlns:a16="http://schemas.microsoft.com/office/drawing/2014/main" id="{27E91CE2-3933-485F-8F9D-7D2CFBA39C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0</xdr:col>
      <xdr:colOff>152400</xdr:colOff>
      <xdr:row>2</xdr:row>
      <xdr:rowOff>0</xdr:rowOff>
    </xdr:from>
    <xdr:to>
      <xdr:col>1</xdr:col>
      <xdr:colOff>457200</xdr:colOff>
      <xdr:row>25</xdr:row>
      <xdr:rowOff>104775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78" name="Meses (Data)">
              <a:extLst>
                <a:ext uri="{FF2B5EF4-FFF2-40B4-BE49-F238E27FC236}">
                  <a16:creationId xmlns:a16="http://schemas.microsoft.com/office/drawing/2014/main" id="{FD710472-4E4E-04D5-D8D7-47CBD297970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Data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2400" y="381000"/>
              <a:ext cx="914400" cy="4486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12</xdr:col>
      <xdr:colOff>47625</xdr:colOff>
      <xdr:row>0</xdr:row>
      <xdr:rowOff>104775</xdr:rowOff>
    </xdr:from>
    <xdr:to>
      <xdr:col>13</xdr:col>
      <xdr:colOff>409575</xdr:colOff>
      <xdr:row>1</xdr:row>
      <xdr:rowOff>161925</xdr:rowOff>
    </xdr:to>
    <xdr:sp macro="" textlink="Cálculos!E40">
      <xdr:nvSpPr>
        <xdr:cNvPr id="2050" name="CaixaDeTexto 2049">
          <a:extLst>
            <a:ext uri="{FF2B5EF4-FFF2-40B4-BE49-F238E27FC236}">
              <a16:creationId xmlns:a16="http://schemas.microsoft.com/office/drawing/2014/main" id="{DEC456B2-EC45-14AB-5DE5-D4100A5CC6F0}"/>
            </a:ext>
          </a:extLst>
        </xdr:cNvPr>
        <xdr:cNvSpPr txBox="1"/>
      </xdr:nvSpPr>
      <xdr:spPr>
        <a:xfrm>
          <a:off x="7258050" y="104775"/>
          <a:ext cx="971550" cy="247650"/>
        </a:xfrm>
        <a:prstGeom prst="rect">
          <a:avLst/>
        </a:prstGeom>
        <a:solidFill>
          <a:schemeClr val="accent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F528D44-569F-419C-A555-67FCE7F887EB}" type="TxLink">
            <a:rPr lang="en-US" sz="14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68.284</a:t>
          </a:fld>
          <a:endParaRPr lang="pt-BR" sz="140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133350</xdr:colOff>
      <xdr:row>0</xdr:row>
      <xdr:rowOff>104775</xdr:rowOff>
    </xdr:from>
    <xdr:to>
      <xdr:col>17</xdr:col>
      <xdr:colOff>495300</xdr:colOff>
      <xdr:row>2</xdr:row>
      <xdr:rowOff>47625</xdr:rowOff>
    </xdr:to>
    <xdr:sp macro="" textlink="Cálculos!L40">
      <xdr:nvSpPr>
        <xdr:cNvPr id="2052" name="CaixaDeTexto 2051">
          <a:extLst>
            <a:ext uri="{FF2B5EF4-FFF2-40B4-BE49-F238E27FC236}">
              <a16:creationId xmlns:a16="http://schemas.microsoft.com/office/drawing/2014/main" id="{B2A4AE51-556B-4BC7-B035-657EEA776272}"/>
            </a:ext>
          </a:extLst>
        </xdr:cNvPr>
        <xdr:cNvSpPr txBox="1"/>
      </xdr:nvSpPr>
      <xdr:spPr>
        <a:xfrm>
          <a:off x="9782175" y="104775"/>
          <a:ext cx="971550" cy="323850"/>
        </a:xfrm>
        <a:prstGeom prst="rect">
          <a:avLst/>
        </a:prstGeom>
        <a:solidFill>
          <a:schemeClr val="accent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30124C2-A7FC-4014-B4DA-A387E205C1FD}" type="TxLink">
            <a:rPr lang="en-US" sz="14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70.839</a:t>
          </a:fld>
          <a:endParaRPr lang="pt-BR" sz="1400">
            <a:solidFill>
              <a:schemeClr val="bg1"/>
            </a:solidFill>
          </a:endParaRPr>
        </a:p>
      </xdr:txBody>
    </xdr:sp>
    <xdr:clientData/>
  </xdr:twoCellAnchor>
  <xdr:twoCellAnchor>
    <xdr:from>
      <xdr:col>19</xdr:col>
      <xdr:colOff>133350</xdr:colOff>
      <xdr:row>11</xdr:row>
      <xdr:rowOff>171450</xdr:rowOff>
    </xdr:from>
    <xdr:to>
      <xdr:col>22</xdr:col>
      <xdr:colOff>180975</xdr:colOff>
      <xdr:row>14</xdr:row>
      <xdr:rowOff>142875</xdr:rowOff>
    </xdr:to>
    <xdr:sp macro="" textlink="Cálculos!F73">
      <xdr:nvSpPr>
        <xdr:cNvPr id="2054" name="CaixaDeTexto 2053">
          <a:extLst>
            <a:ext uri="{FF2B5EF4-FFF2-40B4-BE49-F238E27FC236}">
              <a16:creationId xmlns:a16="http://schemas.microsoft.com/office/drawing/2014/main" id="{D03095C4-18E2-8366-BD50-2FD6916AA709}"/>
            </a:ext>
          </a:extLst>
        </xdr:cNvPr>
        <xdr:cNvSpPr txBox="1"/>
      </xdr:nvSpPr>
      <xdr:spPr>
        <a:xfrm>
          <a:off x="11582400" y="2266950"/>
          <a:ext cx="1876425" cy="542925"/>
        </a:xfrm>
        <a:prstGeom prst="rect">
          <a:avLst/>
        </a:prstGeom>
        <a:solidFill>
          <a:schemeClr val="accent2">
            <a:lumMod val="75000"/>
          </a:schemeClr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F425B35F-590D-489D-BA56-607E63ACA9B3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A média de produção da equipe 01 é de 54,89</a:t>
          </a:fld>
          <a:endParaRPr lang="pt-BR" sz="1200">
            <a:solidFill>
              <a:schemeClr val="bg1"/>
            </a:solidFill>
          </a:endParaRPr>
        </a:p>
      </xdr:txBody>
    </xdr:sp>
    <xdr:clientData/>
  </xdr:twoCellAnchor>
  <xdr:twoCellAnchor>
    <xdr:from>
      <xdr:col>19</xdr:col>
      <xdr:colOff>85725</xdr:colOff>
      <xdr:row>16</xdr:row>
      <xdr:rowOff>96550</xdr:rowOff>
    </xdr:from>
    <xdr:to>
      <xdr:col>22</xdr:col>
      <xdr:colOff>247650</xdr:colOff>
      <xdr:row>19</xdr:row>
      <xdr:rowOff>67975</xdr:rowOff>
    </xdr:to>
    <xdr:sp macro="" textlink="Cálculos!F74">
      <xdr:nvSpPr>
        <xdr:cNvPr id="2055" name="CaixaDeTexto 2054">
          <a:extLst>
            <a:ext uri="{FF2B5EF4-FFF2-40B4-BE49-F238E27FC236}">
              <a16:creationId xmlns:a16="http://schemas.microsoft.com/office/drawing/2014/main" id="{F47D202A-9ADC-BA34-DD72-526CF768D76E}"/>
            </a:ext>
          </a:extLst>
        </xdr:cNvPr>
        <xdr:cNvSpPr txBox="1"/>
      </xdr:nvSpPr>
      <xdr:spPr>
        <a:xfrm>
          <a:off x="11534775" y="3144550"/>
          <a:ext cx="1990725" cy="542925"/>
        </a:xfrm>
        <a:prstGeom prst="rect">
          <a:avLst/>
        </a:prstGeom>
        <a:solidFill>
          <a:schemeClr val="accent2">
            <a:lumMod val="75000"/>
          </a:schemeClr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ED05D5-48CA-43CE-A87F-949E14C7A781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A média de produção da equipe 02 é de 55,17</a:t>
          </a:fld>
          <a:endParaRPr lang="pt-BR" sz="1200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609601</xdr:colOff>
      <xdr:row>11</xdr:row>
      <xdr:rowOff>171450</xdr:rowOff>
    </xdr:from>
    <xdr:to>
      <xdr:col>18</xdr:col>
      <xdr:colOff>436276</xdr:colOff>
      <xdr:row>14</xdr:row>
      <xdr:rowOff>143550</xdr:rowOff>
    </xdr:to>
    <xdr:sp macro="" textlink="">
      <xdr:nvSpPr>
        <xdr:cNvPr id="2056" name="Retângulo: Cantos Arredondados 2055">
          <a:extLst>
            <a:ext uri="{FF2B5EF4-FFF2-40B4-BE49-F238E27FC236}">
              <a16:creationId xmlns:a16="http://schemas.microsoft.com/office/drawing/2014/main" id="{F901B7B7-33C8-DB7F-5E50-BC0B30E9AD78}"/>
            </a:ext>
          </a:extLst>
        </xdr:cNvPr>
        <xdr:cNvSpPr/>
      </xdr:nvSpPr>
      <xdr:spPr>
        <a:xfrm>
          <a:off x="10843910" y="2289243"/>
          <a:ext cx="525850" cy="549679"/>
        </a:xfrm>
        <a:prstGeom prst="roundRect">
          <a:avLst/>
        </a:prstGeom>
        <a:solidFill>
          <a:srgbClr val="FFCC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591339</xdr:colOff>
      <xdr:row>26</xdr:row>
      <xdr:rowOff>157691</xdr:rowOff>
    </xdr:from>
    <xdr:to>
      <xdr:col>18</xdr:col>
      <xdr:colOff>418014</xdr:colOff>
      <xdr:row>29</xdr:row>
      <xdr:rowOff>127764</xdr:rowOff>
    </xdr:to>
    <xdr:sp macro="" textlink="">
      <xdr:nvSpPr>
        <xdr:cNvPr id="2057" name="Retângulo: Cantos Arredondados 2056">
          <a:extLst>
            <a:ext uri="{FF2B5EF4-FFF2-40B4-BE49-F238E27FC236}">
              <a16:creationId xmlns:a16="http://schemas.microsoft.com/office/drawing/2014/main" id="{F7E1B854-D5FE-43C4-E3C5-1388AB7FB9F6}"/>
            </a:ext>
          </a:extLst>
        </xdr:cNvPr>
        <xdr:cNvSpPr/>
      </xdr:nvSpPr>
      <xdr:spPr>
        <a:xfrm>
          <a:off x="10825648" y="5163382"/>
          <a:ext cx="525850" cy="547653"/>
        </a:xfrm>
        <a:prstGeom prst="roundRect">
          <a:avLst/>
        </a:prstGeom>
        <a:solidFill>
          <a:srgbClr val="FF33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85725</xdr:colOff>
      <xdr:row>11</xdr:row>
      <xdr:rowOff>171450</xdr:rowOff>
    </xdr:from>
    <xdr:to>
      <xdr:col>22</xdr:col>
      <xdr:colOff>247650</xdr:colOff>
      <xdr:row>14</xdr:row>
      <xdr:rowOff>142875</xdr:rowOff>
    </xdr:to>
    <xdr:sp macro="" textlink="Cálculos!F73">
      <xdr:nvSpPr>
        <xdr:cNvPr id="2058" name="CaixaDeTexto 2057">
          <a:extLst>
            <a:ext uri="{FF2B5EF4-FFF2-40B4-BE49-F238E27FC236}">
              <a16:creationId xmlns:a16="http://schemas.microsoft.com/office/drawing/2014/main" id="{88FD94B5-A2DC-29FE-AAD2-29BC9B26DECF}"/>
            </a:ext>
          </a:extLst>
        </xdr:cNvPr>
        <xdr:cNvSpPr txBox="1"/>
      </xdr:nvSpPr>
      <xdr:spPr>
        <a:xfrm>
          <a:off x="11534775" y="2266950"/>
          <a:ext cx="1990725" cy="542925"/>
        </a:xfrm>
        <a:prstGeom prst="rect">
          <a:avLst/>
        </a:prstGeom>
        <a:solidFill>
          <a:schemeClr val="accent2">
            <a:lumMod val="75000"/>
          </a:schemeClr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F425B35F-590D-489D-BA56-607E63ACA9B3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A média de produção da equipe 01 é de 54,89</a:t>
          </a:fld>
          <a:endParaRPr lang="pt-BR" sz="1200">
            <a:solidFill>
              <a:schemeClr val="bg1"/>
            </a:solidFill>
          </a:endParaRPr>
        </a:p>
      </xdr:txBody>
    </xdr:sp>
    <xdr:clientData/>
  </xdr:twoCellAnchor>
  <xdr:twoCellAnchor>
    <xdr:from>
      <xdr:col>19</xdr:col>
      <xdr:colOff>85725</xdr:colOff>
      <xdr:row>21</xdr:row>
      <xdr:rowOff>21650</xdr:rowOff>
    </xdr:from>
    <xdr:to>
      <xdr:col>22</xdr:col>
      <xdr:colOff>247650</xdr:colOff>
      <xdr:row>24</xdr:row>
      <xdr:rowOff>170150</xdr:rowOff>
    </xdr:to>
    <xdr:sp macro="" textlink="Cálculos!F40">
      <xdr:nvSpPr>
        <xdr:cNvPr id="2059" name="CaixaDeTexto 2058">
          <a:extLst>
            <a:ext uri="{FF2B5EF4-FFF2-40B4-BE49-F238E27FC236}">
              <a16:creationId xmlns:a16="http://schemas.microsoft.com/office/drawing/2014/main" id="{2BB3FE45-578C-2BAF-3FFC-9C5A2C18AB01}"/>
            </a:ext>
          </a:extLst>
        </xdr:cNvPr>
        <xdr:cNvSpPr txBox="1"/>
      </xdr:nvSpPr>
      <xdr:spPr>
        <a:xfrm>
          <a:off x="11534775" y="4022150"/>
          <a:ext cx="1990725" cy="720000"/>
        </a:xfrm>
        <a:prstGeom prst="rect">
          <a:avLst/>
        </a:prstGeom>
        <a:solidFill>
          <a:schemeClr val="accent2">
            <a:lumMod val="75000"/>
          </a:schemeClr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CA50891-604D-45BA-A4DA-5AA37CA9162C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A quantidade total produzida pela equipe 01 foi de 68.284</a:t>
          </a:fld>
          <a:endParaRPr lang="pt-BR" sz="1200">
            <a:solidFill>
              <a:schemeClr val="bg1"/>
            </a:solidFill>
          </a:endParaRPr>
        </a:p>
      </xdr:txBody>
    </xdr:sp>
    <xdr:clientData/>
  </xdr:twoCellAnchor>
  <xdr:twoCellAnchor>
    <xdr:from>
      <xdr:col>19</xdr:col>
      <xdr:colOff>85725</xdr:colOff>
      <xdr:row>26</xdr:row>
      <xdr:rowOff>123824</xdr:rowOff>
    </xdr:from>
    <xdr:to>
      <xdr:col>22</xdr:col>
      <xdr:colOff>247650</xdr:colOff>
      <xdr:row>30</xdr:row>
      <xdr:rowOff>81824</xdr:rowOff>
    </xdr:to>
    <xdr:sp macro="" textlink="Cálculos!F38">
      <xdr:nvSpPr>
        <xdr:cNvPr id="2060" name="CaixaDeTexto 2059">
          <a:extLst>
            <a:ext uri="{FF2B5EF4-FFF2-40B4-BE49-F238E27FC236}">
              <a16:creationId xmlns:a16="http://schemas.microsoft.com/office/drawing/2014/main" id="{D1E41318-7508-0B99-CA61-8F9D44B91D73}"/>
            </a:ext>
          </a:extLst>
        </xdr:cNvPr>
        <xdr:cNvSpPr txBox="1"/>
      </xdr:nvSpPr>
      <xdr:spPr>
        <a:xfrm>
          <a:off x="11534775" y="5076824"/>
          <a:ext cx="1990725" cy="720000"/>
        </a:xfrm>
        <a:prstGeom prst="rect">
          <a:avLst/>
        </a:prstGeom>
        <a:solidFill>
          <a:schemeClr val="accent2">
            <a:lumMod val="75000"/>
          </a:schemeClr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3503A355-F925-4EB6-91EE-58253F019640}" type="TxLink">
            <a:rPr lang="en-US" sz="12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A quantidade total produzida pela equipe 02 foi de 70.839</a:t>
          </a:fld>
          <a:endParaRPr lang="pt-BR" sz="1200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609601</xdr:colOff>
      <xdr:row>21</xdr:row>
      <xdr:rowOff>109850</xdr:rowOff>
    </xdr:from>
    <xdr:to>
      <xdr:col>18</xdr:col>
      <xdr:colOff>436276</xdr:colOff>
      <xdr:row>24</xdr:row>
      <xdr:rowOff>81950</xdr:rowOff>
    </xdr:to>
    <xdr:sp macro="" textlink="">
      <xdr:nvSpPr>
        <xdr:cNvPr id="2061" name="Retângulo: Cantos Arredondados 2060">
          <a:extLst>
            <a:ext uri="{FF2B5EF4-FFF2-40B4-BE49-F238E27FC236}">
              <a16:creationId xmlns:a16="http://schemas.microsoft.com/office/drawing/2014/main" id="{8A2B8487-B937-5313-6D1F-22070910CBB6}"/>
            </a:ext>
          </a:extLst>
        </xdr:cNvPr>
        <xdr:cNvSpPr/>
      </xdr:nvSpPr>
      <xdr:spPr>
        <a:xfrm>
          <a:off x="10843910" y="4152909"/>
          <a:ext cx="525850" cy="549679"/>
        </a:xfrm>
        <a:prstGeom prst="roundRect">
          <a:avLst/>
        </a:prstGeom>
        <a:solidFill>
          <a:srgbClr val="FFCC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609601</xdr:colOff>
      <xdr:row>16</xdr:row>
      <xdr:rowOff>105627</xdr:rowOff>
    </xdr:from>
    <xdr:to>
      <xdr:col>18</xdr:col>
      <xdr:colOff>436276</xdr:colOff>
      <xdr:row>19</xdr:row>
      <xdr:rowOff>77727</xdr:rowOff>
    </xdr:to>
    <xdr:sp macro="" textlink="">
      <xdr:nvSpPr>
        <xdr:cNvPr id="2062" name="Retângulo: Cantos Arredondados 2061">
          <a:extLst>
            <a:ext uri="{FF2B5EF4-FFF2-40B4-BE49-F238E27FC236}">
              <a16:creationId xmlns:a16="http://schemas.microsoft.com/office/drawing/2014/main" id="{4D47452E-6CD0-D071-0D58-C57D89CD5CA3}"/>
            </a:ext>
          </a:extLst>
        </xdr:cNvPr>
        <xdr:cNvSpPr/>
      </xdr:nvSpPr>
      <xdr:spPr>
        <a:xfrm>
          <a:off x="10843910" y="3186053"/>
          <a:ext cx="525850" cy="549679"/>
        </a:xfrm>
        <a:prstGeom prst="roundRect">
          <a:avLst/>
        </a:prstGeom>
        <a:solidFill>
          <a:srgbClr val="FF33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165066</xdr:colOff>
      <xdr:row>0</xdr:row>
      <xdr:rowOff>105832</xdr:rowOff>
    </xdr:from>
    <xdr:to>
      <xdr:col>4</xdr:col>
      <xdr:colOff>50665</xdr:colOff>
      <xdr:row>5</xdr:row>
      <xdr:rowOff>162128</xdr:rowOff>
    </xdr:to>
    <xdr:sp macro="[0]!atualizando" textlink="">
      <xdr:nvSpPr>
        <xdr:cNvPr id="2064" name="Retângulo: Cantos Arredondados 2063">
          <a:extLst>
            <a:ext uri="{FF2B5EF4-FFF2-40B4-BE49-F238E27FC236}">
              <a16:creationId xmlns:a16="http://schemas.microsoft.com/office/drawing/2014/main" id="{4EC56714-4C66-462B-9D12-20EC8F86160B}"/>
            </a:ext>
          </a:extLst>
        </xdr:cNvPr>
        <xdr:cNvSpPr/>
      </xdr:nvSpPr>
      <xdr:spPr>
        <a:xfrm>
          <a:off x="1381023" y="105832"/>
          <a:ext cx="1101557" cy="1018929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700"/>
            <a:t>Atualizar</a:t>
          </a:r>
        </a:p>
      </xdr:txBody>
    </xdr:sp>
    <xdr:clientData/>
  </xdr:twoCellAnchor>
  <xdr:twoCellAnchor editAs="oneCell">
    <xdr:from>
      <xdr:col>2</xdr:col>
      <xdr:colOff>437187</xdr:colOff>
      <xdr:row>2</xdr:row>
      <xdr:rowOff>101330</xdr:rowOff>
    </xdr:from>
    <xdr:to>
      <xdr:col>3</xdr:col>
      <xdr:colOff>386523</xdr:colOff>
      <xdr:row>5</xdr:row>
      <xdr:rowOff>81065</xdr:rowOff>
    </xdr:to>
    <xdr:pic>
      <xdr:nvPicPr>
        <xdr:cNvPr id="2066" name="Gráfico 2065" descr="Atualizar com preenchimento sólido">
          <a:extLst>
            <a:ext uri="{FF2B5EF4-FFF2-40B4-BE49-F238E27FC236}">
              <a16:creationId xmlns:a16="http://schemas.microsoft.com/office/drawing/2014/main" id="{6402F626-21D9-5568-8F95-944074BBC1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653144" y="486383"/>
          <a:ext cx="557315" cy="557315"/>
        </a:xfrm>
        <a:prstGeom prst="rect">
          <a:avLst/>
        </a:prstGeom>
      </xdr:spPr>
    </xdr:pic>
    <xdr:clientData/>
  </xdr:twoCellAnchor>
  <xdr:twoCellAnchor editAs="oneCell">
    <xdr:from>
      <xdr:col>11</xdr:col>
      <xdr:colOff>157096</xdr:colOff>
      <xdr:row>16</xdr:row>
      <xdr:rowOff>91196</xdr:rowOff>
    </xdr:from>
    <xdr:to>
      <xdr:col>11</xdr:col>
      <xdr:colOff>445096</xdr:colOff>
      <xdr:row>18</xdr:row>
      <xdr:rowOff>311</xdr:rowOff>
    </xdr:to>
    <xdr:pic>
      <xdr:nvPicPr>
        <xdr:cNvPr id="2068" name="Gráfico 2067" descr="Raio com preenchimento sólido">
          <a:extLst>
            <a:ext uri="{FF2B5EF4-FFF2-40B4-BE49-F238E27FC236}">
              <a16:creationId xmlns:a16="http://schemas.microsoft.com/office/drawing/2014/main" id="{4B814A24-7D3F-8C4E-3759-802B77BE1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743532" y="3171622"/>
          <a:ext cx="288000" cy="288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157096</xdr:colOff>
      <xdr:row>13</xdr:row>
      <xdr:rowOff>89201</xdr:rowOff>
    </xdr:from>
    <xdr:to>
      <xdr:col>11</xdr:col>
      <xdr:colOff>445096</xdr:colOff>
      <xdr:row>14</xdr:row>
      <xdr:rowOff>184675</xdr:rowOff>
    </xdr:to>
    <xdr:pic>
      <xdr:nvPicPr>
        <xdr:cNvPr id="2070" name="Gráfico 2069" descr="Lâmpada com preenchimento sólido">
          <a:extLst>
            <a:ext uri="{FF2B5EF4-FFF2-40B4-BE49-F238E27FC236}">
              <a16:creationId xmlns:a16="http://schemas.microsoft.com/office/drawing/2014/main" id="{F1C3B0BB-CD05-9B5F-B198-20FD14D1F9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743532" y="2592047"/>
          <a:ext cx="288000" cy="288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157096</xdr:colOff>
      <xdr:row>10</xdr:row>
      <xdr:rowOff>97340</xdr:rowOff>
    </xdr:from>
    <xdr:to>
      <xdr:col>11</xdr:col>
      <xdr:colOff>445096</xdr:colOff>
      <xdr:row>12</xdr:row>
      <xdr:rowOff>287</xdr:rowOff>
    </xdr:to>
    <xdr:pic>
      <xdr:nvPicPr>
        <xdr:cNvPr id="2072" name="Gráfico 2071" descr="Ferramentas com preenchimento sólido">
          <a:extLst>
            <a:ext uri="{FF2B5EF4-FFF2-40B4-BE49-F238E27FC236}">
              <a16:creationId xmlns:a16="http://schemas.microsoft.com/office/drawing/2014/main" id="{760FD88E-879D-6542-645E-0A0634D479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743532" y="2022606"/>
          <a:ext cx="288000" cy="288000"/>
        </a:xfrm>
        <a:prstGeom prst="rect">
          <a:avLst/>
        </a:prstGeom>
      </xdr:spPr>
    </xdr:pic>
    <xdr:clientData/>
  </xdr:twoCellAnchor>
  <xdr:twoCellAnchor editAs="oneCell">
    <xdr:from>
      <xdr:col>4</xdr:col>
      <xdr:colOff>472197</xdr:colOff>
      <xdr:row>6</xdr:row>
      <xdr:rowOff>30397</xdr:rowOff>
    </xdr:from>
    <xdr:to>
      <xdr:col>5</xdr:col>
      <xdr:colOff>152218</xdr:colOff>
      <xdr:row>7</xdr:row>
      <xdr:rowOff>125871</xdr:rowOff>
    </xdr:to>
    <xdr:pic>
      <xdr:nvPicPr>
        <xdr:cNvPr id="2074" name="Gráfico 2073" descr="Usuários com preenchimento sólido">
          <a:extLst>
            <a:ext uri="{FF2B5EF4-FFF2-40B4-BE49-F238E27FC236}">
              <a16:creationId xmlns:a16="http://schemas.microsoft.com/office/drawing/2014/main" id="{386C9A4C-28B0-BD67-2AFC-609709181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904112" y="1185557"/>
          <a:ext cx="288000" cy="288000"/>
        </a:xfrm>
        <a:prstGeom prst="rect">
          <a:avLst/>
        </a:prstGeom>
      </xdr:spPr>
    </xdr:pic>
    <xdr:clientData/>
  </xdr:twoCellAnchor>
  <xdr:twoCellAnchor editAs="oneCell">
    <xdr:from>
      <xdr:col>7</xdr:col>
      <xdr:colOff>157624</xdr:colOff>
      <xdr:row>6</xdr:row>
      <xdr:rowOff>10131</xdr:rowOff>
    </xdr:from>
    <xdr:to>
      <xdr:col>7</xdr:col>
      <xdr:colOff>445624</xdr:colOff>
      <xdr:row>7</xdr:row>
      <xdr:rowOff>105605</xdr:rowOff>
    </xdr:to>
    <xdr:pic>
      <xdr:nvPicPr>
        <xdr:cNvPr id="2076" name="Gráfico 2075" descr="Usuários com preenchimento sólido">
          <a:extLst>
            <a:ext uri="{FF2B5EF4-FFF2-40B4-BE49-F238E27FC236}">
              <a16:creationId xmlns:a16="http://schemas.microsoft.com/office/drawing/2014/main" id="{84C379DC-3C06-1700-D131-895D78EDD1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413475" y="1165291"/>
          <a:ext cx="288000" cy="288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656526</xdr:colOff>
      <xdr:row>12</xdr:row>
      <xdr:rowOff>37763</xdr:rowOff>
    </xdr:from>
    <xdr:to>
      <xdr:col>18</xdr:col>
      <xdr:colOff>389351</xdr:colOff>
      <xdr:row>14</xdr:row>
      <xdr:rowOff>84710</xdr:rowOff>
    </xdr:to>
    <xdr:pic>
      <xdr:nvPicPr>
        <xdr:cNvPr id="2079" name="Gráfico 2078" descr="Usuários com preenchimento sólido">
          <a:extLst>
            <a:ext uri="{FF2B5EF4-FFF2-40B4-BE49-F238E27FC236}">
              <a16:creationId xmlns:a16="http://schemas.microsoft.com/office/drawing/2014/main" id="{C9EDD4F3-E4EC-AAF2-F5CF-B1E07F68C2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0890835" y="234808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656526</xdr:colOff>
      <xdr:row>16</xdr:row>
      <xdr:rowOff>164466</xdr:rowOff>
    </xdr:from>
    <xdr:to>
      <xdr:col>18</xdr:col>
      <xdr:colOff>389351</xdr:colOff>
      <xdr:row>19</xdr:row>
      <xdr:rowOff>18887</xdr:rowOff>
    </xdr:to>
    <xdr:pic>
      <xdr:nvPicPr>
        <xdr:cNvPr id="2080" name="Gráfico 2079" descr="Usuários com preenchimento sólido">
          <a:extLst>
            <a:ext uri="{FF2B5EF4-FFF2-40B4-BE49-F238E27FC236}">
              <a16:creationId xmlns:a16="http://schemas.microsoft.com/office/drawing/2014/main" id="{0ED6B654-5530-FBA4-19A5-CD9E23640A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0890835" y="324489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656526</xdr:colOff>
      <xdr:row>21</xdr:row>
      <xdr:rowOff>168689</xdr:rowOff>
    </xdr:from>
    <xdr:to>
      <xdr:col>18</xdr:col>
      <xdr:colOff>389351</xdr:colOff>
      <xdr:row>24</xdr:row>
      <xdr:rowOff>23110</xdr:rowOff>
    </xdr:to>
    <xdr:pic>
      <xdr:nvPicPr>
        <xdr:cNvPr id="2081" name="Gráfico 2080" descr="Usuários com preenchimento sólido">
          <a:extLst>
            <a:ext uri="{FF2B5EF4-FFF2-40B4-BE49-F238E27FC236}">
              <a16:creationId xmlns:a16="http://schemas.microsoft.com/office/drawing/2014/main" id="{117C6E4C-9CC4-5CB2-BB16-54A725489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0890835" y="421174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638264</xdr:colOff>
      <xdr:row>27</xdr:row>
      <xdr:rowOff>22990</xdr:rowOff>
    </xdr:from>
    <xdr:to>
      <xdr:col>18</xdr:col>
      <xdr:colOff>371089</xdr:colOff>
      <xdr:row>29</xdr:row>
      <xdr:rowOff>69937</xdr:rowOff>
    </xdr:to>
    <xdr:pic>
      <xdr:nvPicPr>
        <xdr:cNvPr id="2082" name="Gráfico 2081" descr="Usuários com preenchimento sólido">
          <a:extLst>
            <a:ext uri="{FF2B5EF4-FFF2-40B4-BE49-F238E27FC236}">
              <a16:creationId xmlns:a16="http://schemas.microsoft.com/office/drawing/2014/main" id="{4CAAABDB-3C10-4FA5-4C7A-7B19B33DCF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0872573" y="5221208"/>
          <a:ext cx="432000" cy="4320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inaldo" refreshedDate="45149.479264583337" createdVersion="8" refreshedVersion="8" minRefreshableVersion="3" recordCount="2528" xr:uid="{F15C93B6-04FB-4FFB-AC5B-249416954E89}">
  <cacheSource type="worksheet">
    <worksheetSource name="Tabela1"/>
  </cacheSource>
  <cacheFields count="9">
    <cacheField name="Data" numFmtId="14">
      <sharedItems containsSemiMixedTypes="0" containsNonDate="0" containsDate="1" containsString="0" minDate="2022-01-02T00:00:00" maxDate="2023-01-01T00:00:00" count="364"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6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6T00:00:00"/>
        <d v="2022-10-17T00:00:00"/>
        <d v="2022-10-18T00:00:00"/>
        <d v="2022-10-19T00:00:00"/>
        <d v="2022-10-20T00:00:00"/>
        <d v="2022-10-21T00:00:00"/>
        <d v="2022-10-22T00:00:00"/>
        <d v="2022-10-23T00:00:00"/>
        <d v="2022-10-24T00:00:00"/>
        <d v="2022-10-25T00:00:00"/>
        <d v="2022-10-26T00:00:00"/>
        <d v="2022-10-27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</sharedItems>
      <fieldGroup par="8"/>
    </cacheField>
    <cacheField name="Produto" numFmtId="0">
      <sharedItems count="15">
        <s v=" Interruptor simples"/>
        <s v=" Lâmpada LED bulbo"/>
        <s v=" Disjuntor termomagnético"/>
        <s v=" Caixa de passagem"/>
        <s v=" Luminária LED de embutir"/>
        <s v=" Inversor de frequência"/>
        <s v=" Transformador"/>
        <s v=" Refletor LED de alta potência"/>
        <s v=" Eletroduto rígido"/>
        <s v=" Bucha de redução para eletroduto"/>
        <s v=" Luminária LED de sobrepor"/>
        <s v=" Lâmpada LED tubular"/>
        <s v=" Abraçadeira tipo U"/>
        <s v=" Tomada com suporte para USB"/>
        <s v=" Conduíte corrugado"/>
      </sharedItems>
    </cacheField>
    <cacheField name="Categoria" numFmtId="0">
      <sharedItems count="3">
        <s v="Equip. Elétricos"/>
        <s v="Iluminação"/>
        <s v="Materiais Elétricos"/>
      </sharedItems>
    </cacheField>
    <cacheField name="Equipe" numFmtId="0">
      <sharedItems count="2">
        <s v="Equipe 01"/>
        <s v="Equipe 02"/>
      </sharedItems>
    </cacheField>
    <cacheField name="Canal" numFmtId="0">
      <sharedItems count="3">
        <s v="Canal 03"/>
        <s v="Canal 01"/>
        <s v="Canal 02"/>
      </sharedItems>
    </cacheField>
    <cacheField name="Quantidade" numFmtId="0">
      <sharedItems containsSemiMixedTypes="0" containsString="0" containsNumber="1" containsInteger="1" minValue="10" maxValue="100"/>
    </cacheField>
    <cacheField name="Custo de produção" numFmtId="0">
      <sharedItems containsSemiMixedTypes="0" containsString="0" containsNumber="1" containsInteger="1" minValue="20" maxValue="150"/>
    </cacheField>
    <cacheField name="Dias (Data)" numFmtId="0" databaseField="0">
      <fieldGroup base="0">
        <rangePr groupBy="days" startDate="2022-01-02T00:00:00" endDate="2023-01-01T00:00:00"/>
        <groupItems count="368">
          <s v="&lt;02/01/2022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01/01/2023"/>
        </groupItems>
      </fieldGroup>
    </cacheField>
    <cacheField name="Meses (Data)" numFmtId="0" databaseField="0">
      <fieldGroup base="0">
        <rangePr groupBy="months" startDate="2022-01-02T00:00:00" endDate="2023-01-01T00:00:00"/>
        <groupItems count="14">
          <s v="&lt;02/01/2022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1/01/2023"/>
        </groupItems>
      </fieldGroup>
    </cacheField>
  </cacheFields>
  <extLst>
    <ext xmlns:x14="http://schemas.microsoft.com/office/spreadsheetml/2009/9/main" uri="{725AE2AE-9491-48be-B2B4-4EB974FC3084}">
      <x14:pivotCacheDefinition pivotCacheId="124663424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28">
  <r>
    <x v="0"/>
    <x v="0"/>
    <x v="0"/>
    <x v="0"/>
    <x v="0"/>
    <n v="90"/>
    <n v="116"/>
  </r>
  <r>
    <x v="0"/>
    <x v="1"/>
    <x v="1"/>
    <x v="1"/>
    <x v="1"/>
    <n v="18"/>
    <n v="85"/>
  </r>
  <r>
    <x v="0"/>
    <x v="2"/>
    <x v="0"/>
    <x v="1"/>
    <x v="1"/>
    <n v="49"/>
    <n v="142"/>
  </r>
  <r>
    <x v="0"/>
    <x v="2"/>
    <x v="0"/>
    <x v="1"/>
    <x v="2"/>
    <n v="94"/>
    <n v="28"/>
  </r>
  <r>
    <x v="0"/>
    <x v="0"/>
    <x v="0"/>
    <x v="1"/>
    <x v="1"/>
    <n v="64"/>
    <n v="144"/>
  </r>
  <r>
    <x v="1"/>
    <x v="3"/>
    <x v="2"/>
    <x v="1"/>
    <x v="0"/>
    <n v="11"/>
    <n v="86"/>
  </r>
  <r>
    <x v="1"/>
    <x v="4"/>
    <x v="1"/>
    <x v="1"/>
    <x v="0"/>
    <n v="64"/>
    <n v="47"/>
  </r>
  <r>
    <x v="1"/>
    <x v="1"/>
    <x v="1"/>
    <x v="1"/>
    <x v="2"/>
    <n v="88"/>
    <n v="84"/>
  </r>
  <r>
    <x v="1"/>
    <x v="5"/>
    <x v="0"/>
    <x v="1"/>
    <x v="0"/>
    <n v="81"/>
    <n v="67"/>
  </r>
  <r>
    <x v="1"/>
    <x v="5"/>
    <x v="0"/>
    <x v="0"/>
    <x v="0"/>
    <n v="27"/>
    <n v="79"/>
  </r>
  <r>
    <x v="1"/>
    <x v="6"/>
    <x v="0"/>
    <x v="0"/>
    <x v="0"/>
    <n v="20"/>
    <n v="94"/>
  </r>
  <r>
    <x v="1"/>
    <x v="1"/>
    <x v="1"/>
    <x v="0"/>
    <x v="2"/>
    <n v="89"/>
    <n v="41"/>
  </r>
  <r>
    <x v="1"/>
    <x v="1"/>
    <x v="1"/>
    <x v="1"/>
    <x v="0"/>
    <n v="51"/>
    <n v="42"/>
  </r>
  <r>
    <x v="2"/>
    <x v="7"/>
    <x v="1"/>
    <x v="0"/>
    <x v="0"/>
    <n v="52"/>
    <n v="58"/>
  </r>
  <r>
    <x v="2"/>
    <x v="6"/>
    <x v="0"/>
    <x v="1"/>
    <x v="2"/>
    <n v="68"/>
    <n v="28"/>
  </r>
  <r>
    <x v="2"/>
    <x v="8"/>
    <x v="2"/>
    <x v="0"/>
    <x v="0"/>
    <n v="41"/>
    <n v="54"/>
  </r>
  <r>
    <x v="2"/>
    <x v="4"/>
    <x v="1"/>
    <x v="1"/>
    <x v="1"/>
    <n v="82"/>
    <n v="70"/>
  </r>
  <r>
    <x v="3"/>
    <x v="9"/>
    <x v="2"/>
    <x v="0"/>
    <x v="0"/>
    <n v="29"/>
    <n v="54"/>
  </r>
  <r>
    <x v="3"/>
    <x v="5"/>
    <x v="0"/>
    <x v="1"/>
    <x v="1"/>
    <n v="10"/>
    <n v="111"/>
  </r>
  <r>
    <x v="3"/>
    <x v="4"/>
    <x v="1"/>
    <x v="1"/>
    <x v="2"/>
    <n v="91"/>
    <n v="72"/>
  </r>
  <r>
    <x v="3"/>
    <x v="5"/>
    <x v="0"/>
    <x v="1"/>
    <x v="1"/>
    <n v="44"/>
    <n v="140"/>
  </r>
  <r>
    <x v="3"/>
    <x v="9"/>
    <x v="2"/>
    <x v="1"/>
    <x v="1"/>
    <n v="12"/>
    <n v="87"/>
  </r>
  <r>
    <x v="3"/>
    <x v="10"/>
    <x v="1"/>
    <x v="1"/>
    <x v="0"/>
    <n v="10"/>
    <n v="88"/>
  </r>
  <r>
    <x v="4"/>
    <x v="11"/>
    <x v="1"/>
    <x v="1"/>
    <x v="1"/>
    <n v="55"/>
    <n v="37"/>
  </r>
  <r>
    <x v="4"/>
    <x v="5"/>
    <x v="0"/>
    <x v="0"/>
    <x v="1"/>
    <n v="56"/>
    <n v="113"/>
  </r>
  <r>
    <x v="5"/>
    <x v="12"/>
    <x v="2"/>
    <x v="1"/>
    <x v="0"/>
    <n v="81"/>
    <n v="148"/>
  </r>
  <r>
    <x v="5"/>
    <x v="9"/>
    <x v="2"/>
    <x v="1"/>
    <x v="0"/>
    <n v="14"/>
    <n v="29"/>
  </r>
  <r>
    <x v="5"/>
    <x v="2"/>
    <x v="0"/>
    <x v="1"/>
    <x v="0"/>
    <n v="74"/>
    <n v="113"/>
  </r>
  <r>
    <x v="5"/>
    <x v="5"/>
    <x v="0"/>
    <x v="1"/>
    <x v="0"/>
    <n v="31"/>
    <n v="122"/>
  </r>
  <r>
    <x v="5"/>
    <x v="6"/>
    <x v="0"/>
    <x v="0"/>
    <x v="2"/>
    <n v="62"/>
    <n v="140"/>
  </r>
  <r>
    <x v="5"/>
    <x v="5"/>
    <x v="0"/>
    <x v="0"/>
    <x v="0"/>
    <n v="16"/>
    <n v="142"/>
  </r>
  <r>
    <x v="6"/>
    <x v="0"/>
    <x v="0"/>
    <x v="0"/>
    <x v="2"/>
    <n v="44"/>
    <n v="107"/>
  </r>
  <r>
    <x v="6"/>
    <x v="5"/>
    <x v="0"/>
    <x v="0"/>
    <x v="1"/>
    <n v="69"/>
    <n v="122"/>
  </r>
  <r>
    <x v="6"/>
    <x v="3"/>
    <x v="2"/>
    <x v="0"/>
    <x v="2"/>
    <n v="87"/>
    <n v="27"/>
  </r>
  <r>
    <x v="6"/>
    <x v="3"/>
    <x v="2"/>
    <x v="1"/>
    <x v="0"/>
    <n v="75"/>
    <n v="76"/>
  </r>
  <r>
    <x v="6"/>
    <x v="13"/>
    <x v="0"/>
    <x v="1"/>
    <x v="1"/>
    <n v="40"/>
    <n v="58"/>
  </r>
  <r>
    <x v="6"/>
    <x v="5"/>
    <x v="0"/>
    <x v="0"/>
    <x v="2"/>
    <n v="54"/>
    <n v="44"/>
  </r>
  <r>
    <x v="6"/>
    <x v="0"/>
    <x v="0"/>
    <x v="1"/>
    <x v="1"/>
    <n v="45"/>
    <n v="84"/>
  </r>
  <r>
    <x v="6"/>
    <x v="3"/>
    <x v="2"/>
    <x v="1"/>
    <x v="2"/>
    <n v="90"/>
    <n v="122"/>
  </r>
  <r>
    <x v="6"/>
    <x v="0"/>
    <x v="0"/>
    <x v="0"/>
    <x v="1"/>
    <n v="11"/>
    <n v="106"/>
  </r>
  <r>
    <x v="6"/>
    <x v="7"/>
    <x v="1"/>
    <x v="1"/>
    <x v="0"/>
    <n v="43"/>
    <n v="118"/>
  </r>
  <r>
    <x v="6"/>
    <x v="1"/>
    <x v="1"/>
    <x v="1"/>
    <x v="1"/>
    <n v="81"/>
    <n v="52"/>
  </r>
  <r>
    <x v="6"/>
    <x v="6"/>
    <x v="0"/>
    <x v="1"/>
    <x v="2"/>
    <n v="32"/>
    <n v="128"/>
  </r>
  <r>
    <x v="6"/>
    <x v="4"/>
    <x v="1"/>
    <x v="0"/>
    <x v="1"/>
    <n v="63"/>
    <n v="94"/>
  </r>
  <r>
    <x v="7"/>
    <x v="4"/>
    <x v="1"/>
    <x v="1"/>
    <x v="1"/>
    <n v="32"/>
    <n v="95"/>
  </r>
  <r>
    <x v="7"/>
    <x v="7"/>
    <x v="1"/>
    <x v="0"/>
    <x v="0"/>
    <n v="93"/>
    <n v="106"/>
  </r>
  <r>
    <x v="7"/>
    <x v="8"/>
    <x v="2"/>
    <x v="0"/>
    <x v="1"/>
    <n v="94"/>
    <n v="142"/>
  </r>
  <r>
    <x v="7"/>
    <x v="3"/>
    <x v="2"/>
    <x v="1"/>
    <x v="1"/>
    <n v="61"/>
    <n v="106"/>
  </r>
  <r>
    <x v="7"/>
    <x v="14"/>
    <x v="2"/>
    <x v="0"/>
    <x v="1"/>
    <n v="41"/>
    <n v="67"/>
  </r>
  <r>
    <x v="7"/>
    <x v="11"/>
    <x v="1"/>
    <x v="0"/>
    <x v="1"/>
    <n v="58"/>
    <n v="115"/>
  </r>
  <r>
    <x v="7"/>
    <x v="7"/>
    <x v="1"/>
    <x v="1"/>
    <x v="2"/>
    <n v="52"/>
    <n v="121"/>
  </r>
  <r>
    <x v="7"/>
    <x v="3"/>
    <x v="2"/>
    <x v="0"/>
    <x v="1"/>
    <n v="55"/>
    <n v="78"/>
  </r>
  <r>
    <x v="8"/>
    <x v="2"/>
    <x v="0"/>
    <x v="1"/>
    <x v="1"/>
    <n v="88"/>
    <n v="92"/>
  </r>
  <r>
    <x v="8"/>
    <x v="12"/>
    <x v="2"/>
    <x v="0"/>
    <x v="1"/>
    <n v="56"/>
    <n v="28"/>
  </r>
  <r>
    <x v="8"/>
    <x v="6"/>
    <x v="0"/>
    <x v="0"/>
    <x v="1"/>
    <n v="86"/>
    <n v="117"/>
  </r>
  <r>
    <x v="8"/>
    <x v="14"/>
    <x v="2"/>
    <x v="0"/>
    <x v="2"/>
    <n v="45"/>
    <n v="84"/>
  </r>
  <r>
    <x v="8"/>
    <x v="14"/>
    <x v="2"/>
    <x v="1"/>
    <x v="0"/>
    <n v="31"/>
    <n v="105"/>
  </r>
  <r>
    <x v="8"/>
    <x v="10"/>
    <x v="1"/>
    <x v="0"/>
    <x v="2"/>
    <n v="54"/>
    <n v="127"/>
  </r>
  <r>
    <x v="8"/>
    <x v="7"/>
    <x v="1"/>
    <x v="1"/>
    <x v="1"/>
    <n v="32"/>
    <n v="26"/>
  </r>
  <r>
    <x v="8"/>
    <x v="11"/>
    <x v="1"/>
    <x v="0"/>
    <x v="2"/>
    <n v="93"/>
    <n v="130"/>
  </r>
  <r>
    <x v="9"/>
    <x v="5"/>
    <x v="0"/>
    <x v="1"/>
    <x v="1"/>
    <n v="100"/>
    <n v="67"/>
  </r>
  <r>
    <x v="9"/>
    <x v="14"/>
    <x v="2"/>
    <x v="0"/>
    <x v="0"/>
    <n v="17"/>
    <n v="72"/>
  </r>
  <r>
    <x v="9"/>
    <x v="14"/>
    <x v="2"/>
    <x v="1"/>
    <x v="0"/>
    <n v="47"/>
    <n v="25"/>
  </r>
  <r>
    <x v="9"/>
    <x v="2"/>
    <x v="0"/>
    <x v="0"/>
    <x v="2"/>
    <n v="55"/>
    <n v="120"/>
  </r>
  <r>
    <x v="10"/>
    <x v="4"/>
    <x v="1"/>
    <x v="1"/>
    <x v="2"/>
    <n v="28"/>
    <n v="126"/>
  </r>
  <r>
    <x v="10"/>
    <x v="14"/>
    <x v="2"/>
    <x v="0"/>
    <x v="1"/>
    <n v="48"/>
    <n v="150"/>
  </r>
  <r>
    <x v="10"/>
    <x v="0"/>
    <x v="0"/>
    <x v="0"/>
    <x v="0"/>
    <n v="36"/>
    <n v="23"/>
  </r>
  <r>
    <x v="11"/>
    <x v="10"/>
    <x v="1"/>
    <x v="0"/>
    <x v="1"/>
    <n v="41"/>
    <n v="116"/>
  </r>
  <r>
    <x v="11"/>
    <x v="11"/>
    <x v="1"/>
    <x v="0"/>
    <x v="0"/>
    <n v="88"/>
    <n v="80"/>
  </r>
  <r>
    <x v="11"/>
    <x v="13"/>
    <x v="0"/>
    <x v="1"/>
    <x v="1"/>
    <n v="85"/>
    <n v="115"/>
  </r>
  <r>
    <x v="11"/>
    <x v="10"/>
    <x v="1"/>
    <x v="0"/>
    <x v="0"/>
    <n v="81"/>
    <n v="20"/>
  </r>
  <r>
    <x v="11"/>
    <x v="0"/>
    <x v="0"/>
    <x v="1"/>
    <x v="0"/>
    <n v="85"/>
    <n v="68"/>
  </r>
  <r>
    <x v="11"/>
    <x v="3"/>
    <x v="2"/>
    <x v="0"/>
    <x v="1"/>
    <n v="10"/>
    <n v="133"/>
  </r>
  <r>
    <x v="11"/>
    <x v="10"/>
    <x v="1"/>
    <x v="1"/>
    <x v="1"/>
    <n v="37"/>
    <n v="146"/>
  </r>
  <r>
    <x v="11"/>
    <x v="0"/>
    <x v="0"/>
    <x v="1"/>
    <x v="1"/>
    <n v="14"/>
    <n v="128"/>
  </r>
  <r>
    <x v="11"/>
    <x v="8"/>
    <x v="2"/>
    <x v="1"/>
    <x v="1"/>
    <n v="58"/>
    <n v="48"/>
  </r>
  <r>
    <x v="11"/>
    <x v="2"/>
    <x v="0"/>
    <x v="1"/>
    <x v="2"/>
    <n v="85"/>
    <n v="64"/>
  </r>
  <r>
    <x v="12"/>
    <x v="5"/>
    <x v="0"/>
    <x v="0"/>
    <x v="1"/>
    <n v="55"/>
    <n v="68"/>
  </r>
  <r>
    <x v="12"/>
    <x v="3"/>
    <x v="2"/>
    <x v="1"/>
    <x v="1"/>
    <n v="99"/>
    <n v="52"/>
  </r>
  <r>
    <x v="12"/>
    <x v="3"/>
    <x v="2"/>
    <x v="1"/>
    <x v="1"/>
    <n v="52"/>
    <n v="147"/>
  </r>
  <r>
    <x v="12"/>
    <x v="9"/>
    <x v="2"/>
    <x v="1"/>
    <x v="0"/>
    <n v="87"/>
    <n v="147"/>
  </r>
  <r>
    <x v="12"/>
    <x v="12"/>
    <x v="2"/>
    <x v="1"/>
    <x v="2"/>
    <n v="58"/>
    <n v="35"/>
  </r>
  <r>
    <x v="12"/>
    <x v="12"/>
    <x v="2"/>
    <x v="0"/>
    <x v="1"/>
    <n v="20"/>
    <n v="55"/>
  </r>
  <r>
    <x v="13"/>
    <x v="4"/>
    <x v="1"/>
    <x v="1"/>
    <x v="0"/>
    <n v="28"/>
    <n v="137"/>
  </r>
  <r>
    <x v="13"/>
    <x v="0"/>
    <x v="0"/>
    <x v="0"/>
    <x v="2"/>
    <n v="39"/>
    <n v="83"/>
  </r>
  <r>
    <x v="13"/>
    <x v="4"/>
    <x v="1"/>
    <x v="1"/>
    <x v="2"/>
    <n v="37"/>
    <n v="136"/>
  </r>
  <r>
    <x v="13"/>
    <x v="4"/>
    <x v="1"/>
    <x v="0"/>
    <x v="0"/>
    <n v="73"/>
    <n v="90"/>
  </r>
  <r>
    <x v="13"/>
    <x v="12"/>
    <x v="2"/>
    <x v="1"/>
    <x v="0"/>
    <n v="38"/>
    <n v="27"/>
  </r>
  <r>
    <x v="13"/>
    <x v="7"/>
    <x v="1"/>
    <x v="1"/>
    <x v="0"/>
    <n v="38"/>
    <n v="35"/>
  </r>
  <r>
    <x v="13"/>
    <x v="4"/>
    <x v="1"/>
    <x v="1"/>
    <x v="1"/>
    <n v="28"/>
    <n v="39"/>
  </r>
  <r>
    <x v="13"/>
    <x v="10"/>
    <x v="1"/>
    <x v="0"/>
    <x v="2"/>
    <n v="82"/>
    <n v="117"/>
  </r>
  <r>
    <x v="14"/>
    <x v="8"/>
    <x v="2"/>
    <x v="1"/>
    <x v="2"/>
    <n v="84"/>
    <n v="84"/>
  </r>
  <r>
    <x v="14"/>
    <x v="9"/>
    <x v="2"/>
    <x v="0"/>
    <x v="2"/>
    <n v="75"/>
    <n v="96"/>
  </r>
  <r>
    <x v="14"/>
    <x v="14"/>
    <x v="2"/>
    <x v="0"/>
    <x v="2"/>
    <n v="40"/>
    <n v="105"/>
  </r>
  <r>
    <x v="14"/>
    <x v="1"/>
    <x v="1"/>
    <x v="1"/>
    <x v="0"/>
    <n v="43"/>
    <n v="68"/>
  </r>
  <r>
    <x v="14"/>
    <x v="5"/>
    <x v="0"/>
    <x v="1"/>
    <x v="1"/>
    <n v="27"/>
    <n v="144"/>
  </r>
  <r>
    <x v="14"/>
    <x v="2"/>
    <x v="0"/>
    <x v="1"/>
    <x v="2"/>
    <n v="24"/>
    <n v="118"/>
  </r>
  <r>
    <x v="14"/>
    <x v="7"/>
    <x v="1"/>
    <x v="0"/>
    <x v="2"/>
    <n v="15"/>
    <n v="120"/>
  </r>
  <r>
    <x v="14"/>
    <x v="7"/>
    <x v="1"/>
    <x v="0"/>
    <x v="0"/>
    <n v="62"/>
    <n v="125"/>
  </r>
  <r>
    <x v="14"/>
    <x v="10"/>
    <x v="1"/>
    <x v="0"/>
    <x v="1"/>
    <n v="29"/>
    <n v="141"/>
  </r>
  <r>
    <x v="15"/>
    <x v="3"/>
    <x v="2"/>
    <x v="0"/>
    <x v="0"/>
    <n v="64"/>
    <n v="119"/>
  </r>
  <r>
    <x v="15"/>
    <x v="12"/>
    <x v="2"/>
    <x v="1"/>
    <x v="2"/>
    <n v="28"/>
    <n v="78"/>
  </r>
  <r>
    <x v="15"/>
    <x v="13"/>
    <x v="0"/>
    <x v="0"/>
    <x v="1"/>
    <n v="13"/>
    <n v="80"/>
  </r>
  <r>
    <x v="15"/>
    <x v="14"/>
    <x v="2"/>
    <x v="0"/>
    <x v="2"/>
    <n v="65"/>
    <n v="114"/>
  </r>
  <r>
    <x v="15"/>
    <x v="1"/>
    <x v="1"/>
    <x v="0"/>
    <x v="2"/>
    <n v="48"/>
    <n v="140"/>
  </r>
  <r>
    <x v="16"/>
    <x v="12"/>
    <x v="2"/>
    <x v="1"/>
    <x v="0"/>
    <n v="11"/>
    <n v="82"/>
  </r>
  <r>
    <x v="16"/>
    <x v="0"/>
    <x v="0"/>
    <x v="1"/>
    <x v="1"/>
    <n v="79"/>
    <n v="145"/>
  </r>
  <r>
    <x v="16"/>
    <x v="14"/>
    <x v="2"/>
    <x v="1"/>
    <x v="2"/>
    <n v="66"/>
    <n v="43"/>
  </r>
  <r>
    <x v="16"/>
    <x v="3"/>
    <x v="2"/>
    <x v="1"/>
    <x v="1"/>
    <n v="19"/>
    <n v="129"/>
  </r>
  <r>
    <x v="17"/>
    <x v="6"/>
    <x v="0"/>
    <x v="0"/>
    <x v="2"/>
    <n v="16"/>
    <n v="122"/>
  </r>
  <r>
    <x v="17"/>
    <x v="4"/>
    <x v="1"/>
    <x v="0"/>
    <x v="0"/>
    <n v="88"/>
    <n v="113"/>
  </r>
  <r>
    <x v="17"/>
    <x v="0"/>
    <x v="0"/>
    <x v="0"/>
    <x v="2"/>
    <n v="67"/>
    <n v="76"/>
  </r>
  <r>
    <x v="17"/>
    <x v="9"/>
    <x v="2"/>
    <x v="0"/>
    <x v="1"/>
    <n v="26"/>
    <n v="141"/>
  </r>
  <r>
    <x v="17"/>
    <x v="7"/>
    <x v="1"/>
    <x v="0"/>
    <x v="1"/>
    <n v="16"/>
    <n v="76"/>
  </r>
  <r>
    <x v="17"/>
    <x v="11"/>
    <x v="1"/>
    <x v="0"/>
    <x v="1"/>
    <n v="69"/>
    <n v="31"/>
  </r>
  <r>
    <x v="17"/>
    <x v="7"/>
    <x v="1"/>
    <x v="0"/>
    <x v="0"/>
    <n v="59"/>
    <n v="82"/>
  </r>
  <r>
    <x v="17"/>
    <x v="6"/>
    <x v="0"/>
    <x v="1"/>
    <x v="0"/>
    <n v="95"/>
    <n v="24"/>
  </r>
  <r>
    <x v="17"/>
    <x v="7"/>
    <x v="1"/>
    <x v="1"/>
    <x v="2"/>
    <n v="11"/>
    <n v="78"/>
  </r>
  <r>
    <x v="17"/>
    <x v="9"/>
    <x v="2"/>
    <x v="1"/>
    <x v="0"/>
    <n v="31"/>
    <n v="106"/>
  </r>
  <r>
    <x v="18"/>
    <x v="3"/>
    <x v="2"/>
    <x v="1"/>
    <x v="1"/>
    <n v="58"/>
    <n v="92"/>
  </r>
  <r>
    <x v="18"/>
    <x v="1"/>
    <x v="1"/>
    <x v="0"/>
    <x v="2"/>
    <n v="71"/>
    <n v="35"/>
  </r>
  <r>
    <x v="18"/>
    <x v="10"/>
    <x v="1"/>
    <x v="1"/>
    <x v="0"/>
    <n v="44"/>
    <n v="41"/>
  </r>
  <r>
    <x v="18"/>
    <x v="9"/>
    <x v="2"/>
    <x v="1"/>
    <x v="1"/>
    <n v="72"/>
    <n v="72"/>
  </r>
  <r>
    <x v="19"/>
    <x v="8"/>
    <x v="2"/>
    <x v="1"/>
    <x v="0"/>
    <n v="86"/>
    <n v="106"/>
  </r>
  <r>
    <x v="19"/>
    <x v="10"/>
    <x v="1"/>
    <x v="1"/>
    <x v="0"/>
    <n v="56"/>
    <n v="133"/>
  </r>
  <r>
    <x v="19"/>
    <x v="1"/>
    <x v="1"/>
    <x v="1"/>
    <x v="2"/>
    <n v="10"/>
    <n v="39"/>
  </r>
  <r>
    <x v="20"/>
    <x v="2"/>
    <x v="0"/>
    <x v="1"/>
    <x v="0"/>
    <n v="48"/>
    <n v="112"/>
  </r>
  <r>
    <x v="20"/>
    <x v="5"/>
    <x v="0"/>
    <x v="1"/>
    <x v="2"/>
    <n v="39"/>
    <n v="80"/>
  </r>
  <r>
    <x v="20"/>
    <x v="13"/>
    <x v="0"/>
    <x v="0"/>
    <x v="2"/>
    <n v="52"/>
    <n v="52"/>
  </r>
  <r>
    <x v="20"/>
    <x v="13"/>
    <x v="0"/>
    <x v="1"/>
    <x v="0"/>
    <n v="91"/>
    <n v="132"/>
  </r>
  <r>
    <x v="20"/>
    <x v="6"/>
    <x v="0"/>
    <x v="1"/>
    <x v="1"/>
    <n v="88"/>
    <n v="119"/>
  </r>
  <r>
    <x v="20"/>
    <x v="13"/>
    <x v="0"/>
    <x v="1"/>
    <x v="0"/>
    <n v="27"/>
    <n v="40"/>
  </r>
  <r>
    <x v="21"/>
    <x v="7"/>
    <x v="1"/>
    <x v="0"/>
    <x v="1"/>
    <n v="51"/>
    <n v="69"/>
  </r>
  <r>
    <x v="21"/>
    <x v="11"/>
    <x v="1"/>
    <x v="1"/>
    <x v="1"/>
    <n v="87"/>
    <n v="51"/>
  </r>
  <r>
    <x v="21"/>
    <x v="4"/>
    <x v="1"/>
    <x v="0"/>
    <x v="0"/>
    <n v="52"/>
    <n v="82"/>
  </r>
  <r>
    <x v="21"/>
    <x v="9"/>
    <x v="2"/>
    <x v="0"/>
    <x v="1"/>
    <n v="65"/>
    <n v="62"/>
  </r>
  <r>
    <x v="21"/>
    <x v="8"/>
    <x v="2"/>
    <x v="0"/>
    <x v="0"/>
    <n v="69"/>
    <n v="117"/>
  </r>
  <r>
    <x v="21"/>
    <x v="1"/>
    <x v="1"/>
    <x v="1"/>
    <x v="1"/>
    <n v="13"/>
    <n v="131"/>
  </r>
  <r>
    <x v="21"/>
    <x v="14"/>
    <x v="2"/>
    <x v="0"/>
    <x v="1"/>
    <n v="97"/>
    <n v="95"/>
  </r>
  <r>
    <x v="22"/>
    <x v="4"/>
    <x v="1"/>
    <x v="1"/>
    <x v="2"/>
    <n v="77"/>
    <n v="113"/>
  </r>
  <r>
    <x v="22"/>
    <x v="11"/>
    <x v="1"/>
    <x v="0"/>
    <x v="1"/>
    <n v="64"/>
    <n v="38"/>
  </r>
  <r>
    <x v="22"/>
    <x v="4"/>
    <x v="1"/>
    <x v="1"/>
    <x v="2"/>
    <n v="90"/>
    <n v="112"/>
  </r>
  <r>
    <x v="22"/>
    <x v="6"/>
    <x v="0"/>
    <x v="0"/>
    <x v="0"/>
    <n v="12"/>
    <n v="124"/>
  </r>
  <r>
    <x v="22"/>
    <x v="6"/>
    <x v="0"/>
    <x v="1"/>
    <x v="1"/>
    <n v="75"/>
    <n v="58"/>
  </r>
  <r>
    <x v="22"/>
    <x v="7"/>
    <x v="1"/>
    <x v="1"/>
    <x v="0"/>
    <n v="30"/>
    <n v="122"/>
  </r>
  <r>
    <x v="23"/>
    <x v="2"/>
    <x v="0"/>
    <x v="0"/>
    <x v="2"/>
    <n v="36"/>
    <n v="124"/>
  </r>
  <r>
    <x v="23"/>
    <x v="3"/>
    <x v="2"/>
    <x v="1"/>
    <x v="0"/>
    <n v="17"/>
    <n v="111"/>
  </r>
  <r>
    <x v="23"/>
    <x v="8"/>
    <x v="2"/>
    <x v="1"/>
    <x v="1"/>
    <n v="83"/>
    <n v="48"/>
  </r>
  <r>
    <x v="23"/>
    <x v="7"/>
    <x v="1"/>
    <x v="0"/>
    <x v="2"/>
    <n v="46"/>
    <n v="126"/>
  </r>
  <r>
    <x v="23"/>
    <x v="11"/>
    <x v="1"/>
    <x v="1"/>
    <x v="0"/>
    <n v="29"/>
    <n v="48"/>
  </r>
  <r>
    <x v="23"/>
    <x v="3"/>
    <x v="2"/>
    <x v="0"/>
    <x v="1"/>
    <n v="90"/>
    <n v="100"/>
  </r>
  <r>
    <x v="24"/>
    <x v="11"/>
    <x v="1"/>
    <x v="0"/>
    <x v="1"/>
    <n v="32"/>
    <n v="39"/>
  </r>
  <r>
    <x v="24"/>
    <x v="0"/>
    <x v="0"/>
    <x v="1"/>
    <x v="1"/>
    <n v="43"/>
    <n v="122"/>
  </r>
  <r>
    <x v="24"/>
    <x v="3"/>
    <x v="2"/>
    <x v="1"/>
    <x v="1"/>
    <n v="37"/>
    <n v="77"/>
  </r>
  <r>
    <x v="24"/>
    <x v="3"/>
    <x v="2"/>
    <x v="0"/>
    <x v="2"/>
    <n v="93"/>
    <n v="129"/>
  </r>
  <r>
    <x v="24"/>
    <x v="1"/>
    <x v="1"/>
    <x v="1"/>
    <x v="0"/>
    <n v="11"/>
    <n v="131"/>
  </r>
  <r>
    <x v="24"/>
    <x v="10"/>
    <x v="1"/>
    <x v="1"/>
    <x v="1"/>
    <n v="89"/>
    <n v="116"/>
  </r>
  <r>
    <x v="24"/>
    <x v="14"/>
    <x v="2"/>
    <x v="1"/>
    <x v="1"/>
    <n v="79"/>
    <n v="55"/>
  </r>
  <r>
    <x v="25"/>
    <x v="10"/>
    <x v="1"/>
    <x v="1"/>
    <x v="1"/>
    <n v="15"/>
    <n v="39"/>
  </r>
  <r>
    <x v="25"/>
    <x v="0"/>
    <x v="0"/>
    <x v="1"/>
    <x v="1"/>
    <n v="17"/>
    <n v="22"/>
  </r>
  <r>
    <x v="25"/>
    <x v="9"/>
    <x v="2"/>
    <x v="1"/>
    <x v="1"/>
    <n v="18"/>
    <n v="130"/>
  </r>
  <r>
    <x v="25"/>
    <x v="14"/>
    <x v="2"/>
    <x v="0"/>
    <x v="1"/>
    <n v="96"/>
    <n v="114"/>
  </r>
  <r>
    <x v="25"/>
    <x v="2"/>
    <x v="0"/>
    <x v="1"/>
    <x v="2"/>
    <n v="70"/>
    <n v="64"/>
  </r>
  <r>
    <x v="25"/>
    <x v="0"/>
    <x v="0"/>
    <x v="0"/>
    <x v="0"/>
    <n v="42"/>
    <n v="118"/>
  </r>
  <r>
    <x v="25"/>
    <x v="3"/>
    <x v="2"/>
    <x v="0"/>
    <x v="0"/>
    <n v="19"/>
    <n v="102"/>
  </r>
  <r>
    <x v="26"/>
    <x v="2"/>
    <x v="0"/>
    <x v="0"/>
    <x v="0"/>
    <n v="36"/>
    <n v="23"/>
  </r>
  <r>
    <x v="26"/>
    <x v="4"/>
    <x v="1"/>
    <x v="1"/>
    <x v="1"/>
    <n v="83"/>
    <n v="92"/>
  </r>
  <r>
    <x v="26"/>
    <x v="10"/>
    <x v="1"/>
    <x v="0"/>
    <x v="1"/>
    <n v="100"/>
    <n v="149"/>
  </r>
  <r>
    <x v="26"/>
    <x v="0"/>
    <x v="0"/>
    <x v="0"/>
    <x v="1"/>
    <n v="93"/>
    <n v="70"/>
  </r>
  <r>
    <x v="26"/>
    <x v="0"/>
    <x v="0"/>
    <x v="0"/>
    <x v="2"/>
    <n v="10"/>
    <n v="71"/>
  </r>
  <r>
    <x v="26"/>
    <x v="1"/>
    <x v="1"/>
    <x v="0"/>
    <x v="1"/>
    <n v="11"/>
    <n v="21"/>
  </r>
  <r>
    <x v="26"/>
    <x v="6"/>
    <x v="0"/>
    <x v="0"/>
    <x v="1"/>
    <n v="92"/>
    <n v="97"/>
  </r>
  <r>
    <x v="26"/>
    <x v="11"/>
    <x v="1"/>
    <x v="0"/>
    <x v="0"/>
    <n v="27"/>
    <n v="78"/>
  </r>
  <r>
    <x v="26"/>
    <x v="5"/>
    <x v="0"/>
    <x v="0"/>
    <x v="2"/>
    <n v="97"/>
    <n v="120"/>
  </r>
  <r>
    <x v="27"/>
    <x v="2"/>
    <x v="0"/>
    <x v="0"/>
    <x v="1"/>
    <n v="40"/>
    <n v="85"/>
  </r>
  <r>
    <x v="27"/>
    <x v="0"/>
    <x v="0"/>
    <x v="0"/>
    <x v="1"/>
    <n v="24"/>
    <n v="29"/>
  </r>
  <r>
    <x v="27"/>
    <x v="13"/>
    <x v="0"/>
    <x v="0"/>
    <x v="2"/>
    <n v="83"/>
    <n v="33"/>
  </r>
  <r>
    <x v="27"/>
    <x v="8"/>
    <x v="2"/>
    <x v="0"/>
    <x v="0"/>
    <n v="49"/>
    <n v="28"/>
  </r>
  <r>
    <x v="27"/>
    <x v="1"/>
    <x v="1"/>
    <x v="1"/>
    <x v="2"/>
    <n v="11"/>
    <n v="102"/>
  </r>
  <r>
    <x v="28"/>
    <x v="6"/>
    <x v="0"/>
    <x v="0"/>
    <x v="2"/>
    <n v="95"/>
    <n v="118"/>
  </r>
  <r>
    <x v="28"/>
    <x v="14"/>
    <x v="2"/>
    <x v="0"/>
    <x v="0"/>
    <n v="20"/>
    <n v="148"/>
  </r>
  <r>
    <x v="28"/>
    <x v="3"/>
    <x v="2"/>
    <x v="0"/>
    <x v="1"/>
    <n v="39"/>
    <n v="100"/>
  </r>
  <r>
    <x v="28"/>
    <x v="3"/>
    <x v="2"/>
    <x v="0"/>
    <x v="1"/>
    <n v="48"/>
    <n v="122"/>
  </r>
  <r>
    <x v="28"/>
    <x v="0"/>
    <x v="0"/>
    <x v="1"/>
    <x v="2"/>
    <n v="76"/>
    <n v="51"/>
  </r>
  <r>
    <x v="29"/>
    <x v="0"/>
    <x v="0"/>
    <x v="0"/>
    <x v="0"/>
    <n v="29"/>
    <n v="104"/>
  </r>
  <r>
    <x v="29"/>
    <x v="5"/>
    <x v="0"/>
    <x v="0"/>
    <x v="1"/>
    <n v="40"/>
    <n v="132"/>
  </r>
  <r>
    <x v="29"/>
    <x v="10"/>
    <x v="1"/>
    <x v="1"/>
    <x v="0"/>
    <n v="93"/>
    <n v="48"/>
  </r>
  <r>
    <x v="29"/>
    <x v="3"/>
    <x v="2"/>
    <x v="1"/>
    <x v="0"/>
    <n v="41"/>
    <n v="64"/>
  </r>
  <r>
    <x v="29"/>
    <x v="4"/>
    <x v="1"/>
    <x v="1"/>
    <x v="1"/>
    <n v="15"/>
    <n v="91"/>
  </r>
  <r>
    <x v="29"/>
    <x v="11"/>
    <x v="1"/>
    <x v="0"/>
    <x v="1"/>
    <n v="33"/>
    <n v="116"/>
  </r>
  <r>
    <x v="30"/>
    <x v="4"/>
    <x v="1"/>
    <x v="1"/>
    <x v="0"/>
    <n v="76"/>
    <n v="68"/>
  </r>
  <r>
    <x v="30"/>
    <x v="6"/>
    <x v="0"/>
    <x v="1"/>
    <x v="2"/>
    <n v="32"/>
    <n v="90"/>
  </r>
  <r>
    <x v="30"/>
    <x v="4"/>
    <x v="1"/>
    <x v="0"/>
    <x v="1"/>
    <n v="13"/>
    <n v="101"/>
  </r>
  <r>
    <x v="30"/>
    <x v="2"/>
    <x v="0"/>
    <x v="0"/>
    <x v="1"/>
    <n v="53"/>
    <n v="128"/>
  </r>
  <r>
    <x v="30"/>
    <x v="8"/>
    <x v="2"/>
    <x v="1"/>
    <x v="0"/>
    <n v="60"/>
    <n v="79"/>
  </r>
  <r>
    <x v="30"/>
    <x v="0"/>
    <x v="0"/>
    <x v="1"/>
    <x v="0"/>
    <n v="49"/>
    <n v="68"/>
  </r>
  <r>
    <x v="30"/>
    <x v="2"/>
    <x v="0"/>
    <x v="0"/>
    <x v="0"/>
    <n v="34"/>
    <n v="140"/>
  </r>
  <r>
    <x v="30"/>
    <x v="2"/>
    <x v="0"/>
    <x v="1"/>
    <x v="0"/>
    <n v="95"/>
    <n v="87"/>
  </r>
  <r>
    <x v="31"/>
    <x v="3"/>
    <x v="2"/>
    <x v="0"/>
    <x v="2"/>
    <n v="32"/>
    <n v="81"/>
  </r>
  <r>
    <x v="31"/>
    <x v="11"/>
    <x v="1"/>
    <x v="1"/>
    <x v="2"/>
    <n v="15"/>
    <n v="26"/>
  </r>
  <r>
    <x v="31"/>
    <x v="0"/>
    <x v="0"/>
    <x v="0"/>
    <x v="2"/>
    <n v="64"/>
    <n v="46"/>
  </r>
  <r>
    <x v="31"/>
    <x v="11"/>
    <x v="1"/>
    <x v="1"/>
    <x v="2"/>
    <n v="33"/>
    <n v="133"/>
  </r>
  <r>
    <x v="31"/>
    <x v="12"/>
    <x v="2"/>
    <x v="1"/>
    <x v="1"/>
    <n v="54"/>
    <n v="114"/>
  </r>
  <r>
    <x v="31"/>
    <x v="11"/>
    <x v="1"/>
    <x v="1"/>
    <x v="2"/>
    <n v="93"/>
    <n v="147"/>
  </r>
  <r>
    <x v="31"/>
    <x v="12"/>
    <x v="2"/>
    <x v="0"/>
    <x v="1"/>
    <n v="64"/>
    <n v="71"/>
  </r>
  <r>
    <x v="32"/>
    <x v="2"/>
    <x v="0"/>
    <x v="1"/>
    <x v="0"/>
    <n v="32"/>
    <n v="62"/>
  </r>
  <r>
    <x v="32"/>
    <x v="7"/>
    <x v="1"/>
    <x v="0"/>
    <x v="2"/>
    <n v="49"/>
    <n v="116"/>
  </r>
  <r>
    <x v="32"/>
    <x v="6"/>
    <x v="0"/>
    <x v="1"/>
    <x v="0"/>
    <n v="56"/>
    <n v="44"/>
  </r>
  <r>
    <x v="32"/>
    <x v="13"/>
    <x v="0"/>
    <x v="1"/>
    <x v="2"/>
    <n v="71"/>
    <n v="103"/>
  </r>
  <r>
    <x v="32"/>
    <x v="7"/>
    <x v="1"/>
    <x v="0"/>
    <x v="2"/>
    <n v="22"/>
    <n v="117"/>
  </r>
  <r>
    <x v="32"/>
    <x v="13"/>
    <x v="0"/>
    <x v="0"/>
    <x v="2"/>
    <n v="67"/>
    <n v="127"/>
  </r>
  <r>
    <x v="32"/>
    <x v="10"/>
    <x v="1"/>
    <x v="1"/>
    <x v="1"/>
    <n v="28"/>
    <n v="32"/>
  </r>
  <r>
    <x v="32"/>
    <x v="0"/>
    <x v="0"/>
    <x v="0"/>
    <x v="2"/>
    <n v="100"/>
    <n v="107"/>
  </r>
  <r>
    <x v="32"/>
    <x v="4"/>
    <x v="1"/>
    <x v="0"/>
    <x v="1"/>
    <n v="22"/>
    <n v="98"/>
  </r>
  <r>
    <x v="33"/>
    <x v="10"/>
    <x v="1"/>
    <x v="1"/>
    <x v="0"/>
    <n v="82"/>
    <n v="78"/>
  </r>
  <r>
    <x v="33"/>
    <x v="8"/>
    <x v="2"/>
    <x v="1"/>
    <x v="1"/>
    <n v="71"/>
    <n v="83"/>
  </r>
  <r>
    <x v="33"/>
    <x v="3"/>
    <x v="2"/>
    <x v="0"/>
    <x v="2"/>
    <n v="64"/>
    <n v="56"/>
  </r>
  <r>
    <x v="33"/>
    <x v="1"/>
    <x v="1"/>
    <x v="1"/>
    <x v="0"/>
    <n v="58"/>
    <n v="141"/>
  </r>
  <r>
    <x v="33"/>
    <x v="2"/>
    <x v="0"/>
    <x v="1"/>
    <x v="1"/>
    <n v="76"/>
    <n v="123"/>
  </r>
  <r>
    <x v="33"/>
    <x v="1"/>
    <x v="1"/>
    <x v="0"/>
    <x v="2"/>
    <n v="16"/>
    <n v="33"/>
  </r>
  <r>
    <x v="33"/>
    <x v="13"/>
    <x v="0"/>
    <x v="0"/>
    <x v="0"/>
    <n v="15"/>
    <n v="69"/>
  </r>
  <r>
    <x v="33"/>
    <x v="14"/>
    <x v="2"/>
    <x v="1"/>
    <x v="0"/>
    <n v="99"/>
    <n v="111"/>
  </r>
  <r>
    <x v="33"/>
    <x v="10"/>
    <x v="1"/>
    <x v="1"/>
    <x v="0"/>
    <n v="76"/>
    <n v="138"/>
  </r>
  <r>
    <x v="34"/>
    <x v="14"/>
    <x v="2"/>
    <x v="0"/>
    <x v="2"/>
    <n v="55"/>
    <n v="74"/>
  </r>
  <r>
    <x v="34"/>
    <x v="4"/>
    <x v="1"/>
    <x v="1"/>
    <x v="0"/>
    <n v="26"/>
    <n v="140"/>
  </r>
  <r>
    <x v="34"/>
    <x v="12"/>
    <x v="2"/>
    <x v="0"/>
    <x v="2"/>
    <n v="97"/>
    <n v="78"/>
  </r>
  <r>
    <x v="34"/>
    <x v="1"/>
    <x v="1"/>
    <x v="0"/>
    <x v="2"/>
    <n v="48"/>
    <n v="72"/>
  </r>
  <r>
    <x v="34"/>
    <x v="5"/>
    <x v="0"/>
    <x v="0"/>
    <x v="0"/>
    <n v="38"/>
    <n v="90"/>
  </r>
  <r>
    <x v="34"/>
    <x v="6"/>
    <x v="0"/>
    <x v="1"/>
    <x v="2"/>
    <n v="61"/>
    <n v="75"/>
  </r>
  <r>
    <x v="34"/>
    <x v="2"/>
    <x v="0"/>
    <x v="0"/>
    <x v="0"/>
    <n v="71"/>
    <n v="140"/>
  </r>
  <r>
    <x v="35"/>
    <x v="12"/>
    <x v="2"/>
    <x v="1"/>
    <x v="2"/>
    <n v="79"/>
    <n v="90"/>
  </r>
  <r>
    <x v="35"/>
    <x v="6"/>
    <x v="0"/>
    <x v="0"/>
    <x v="2"/>
    <n v="90"/>
    <n v="25"/>
  </r>
  <r>
    <x v="35"/>
    <x v="4"/>
    <x v="1"/>
    <x v="0"/>
    <x v="0"/>
    <n v="53"/>
    <n v="104"/>
  </r>
  <r>
    <x v="35"/>
    <x v="12"/>
    <x v="2"/>
    <x v="1"/>
    <x v="0"/>
    <n v="95"/>
    <n v="115"/>
  </r>
  <r>
    <x v="35"/>
    <x v="6"/>
    <x v="0"/>
    <x v="0"/>
    <x v="2"/>
    <n v="61"/>
    <n v="51"/>
  </r>
  <r>
    <x v="35"/>
    <x v="11"/>
    <x v="1"/>
    <x v="1"/>
    <x v="2"/>
    <n v="39"/>
    <n v="103"/>
  </r>
  <r>
    <x v="35"/>
    <x v="7"/>
    <x v="1"/>
    <x v="0"/>
    <x v="0"/>
    <n v="95"/>
    <n v="74"/>
  </r>
  <r>
    <x v="35"/>
    <x v="13"/>
    <x v="0"/>
    <x v="1"/>
    <x v="0"/>
    <n v="98"/>
    <n v="26"/>
  </r>
  <r>
    <x v="35"/>
    <x v="13"/>
    <x v="0"/>
    <x v="1"/>
    <x v="1"/>
    <n v="58"/>
    <n v="124"/>
  </r>
  <r>
    <x v="35"/>
    <x v="1"/>
    <x v="1"/>
    <x v="1"/>
    <x v="1"/>
    <n v="62"/>
    <n v="84"/>
  </r>
  <r>
    <x v="36"/>
    <x v="2"/>
    <x v="0"/>
    <x v="1"/>
    <x v="0"/>
    <n v="74"/>
    <n v="37"/>
  </r>
  <r>
    <x v="36"/>
    <x v="12"/>
    <x v="2"/>
    <x v="1"/>
    <x v="1"/>
    <n v="13"/>
    <n v="112"/>
  </r>
  <r>
    <x v="36"/>
    <x v="2"/>
    <x v="0"/>
    <x v="0"/>
    <x v="2"/>
    <n v="77"/>
    <n v="103"/>
  </r>
  <r>
    <x v="36"/>
    <x v="10"/>
    <x v="1"/>
    <x v="1"/>
    <x v="2"/>
    <n v="72"/>
    <n v="44"/>
  </r>
  <r>
    <x v="36"/>
    <x v="12"/>
    <x v="2"/>
    <x v="1"/>
    <x v="0"/>
    <n v="56"/>
    <n v="128"/>
  </r>
  <r>
    <x v="36"/>
    <x v="0"/>
    <x v="0"/>
    <x v="1"/>
    <x v="1"/>
    <n v="68"/>
    <n v="80"/>
  </r>
  <r>
    <x v="36"/>
    <x v="4"/>
    <x v="1"/>
    <x v="1"/>
    <x v="2"/>
    <n v="18"/>
    <n v="50"/>
  </r>
  <r>
    <x v="37"/>
    <x v="6"/>
    <x v="0"/>
    <x v="0"/>
    <x v="0"/>
    <n v="60"/>
    <n v="88"/>
  </r>
  <r>
    <x v="37"/>
    <x v="10"/>
    <x v="1"/>
    <x v="0"/>
    <x v="1"/>
    <n v="54"/>
    <n v="20"/>
  </r>
  <r>
    <x v="37"/>
    <x v="2"/>
    <x v="0"/>
    <x v="0"/>
    <x v="2"/>
    <n v="11"/>
    <n v="92"/>
  </r>
  <r>
    <x v="38"/>
    <x v="14"/>
    <x v="2"/>
    <x v="1"/>
    <x v="1"/>
    <n v="50"/>
    <n v="96"/>
  </r>
  <r>
    <x v="38"/>
    <x v="1"/>
    <x v="1"/>
    <x v="0"/>
    <x v="0"/>
    <n v="49"/>
    <n v="94"/>
  </r>
  <r>
    <x v="38"/>
    <x v="5"/>
    <x v="0"/>
    <x v="0"/>
    <x v="2"/>
    <n v="52"/>
    <n v="143"/>
  </r>
  <r>
    <x v="38"/>
    <x v="2"/>
    <x v="0"/>
    <x v="0"/>
    <x v="0"/>
    <n v="80"/>
    <n v="30"/>
  </r>
  <r>
    <x v="38"/>
    <x v="9"/>
    <x v="2"/>
    <x v="1"/>
    <x v="2"/>
    <n v="73"/>
    <n v="96"/>
  </r>
  <r>
    <x v="38"/>
    <x v="6"/>
    <x v="0"/>
    <x v="0"/>
    <x v="2"/>
    <n v="59"/>
    <n v="106"/>
  </r>
  <r>
    <x v="38"/>
    <x v="8"/>
    <x v="2"/>
    <x v="1"/>
    <x v="2"/>
    <n v="92"/>
    <n v="70"/>
  </r>
  <r>
    <x v="38"/>
    <x v="13"/>
    <x v="0"/>
    <x v="0"/>
    <x v="0"/>
    <n v="99"/>
    <n v="51"/>
  </r>
  <r>
    <x v="38"/>
    <x v="9"/>
    <x v="2"/>
    <x v="0"/>
    <x v="1"/>
    <n v="31"/>
    <n v="136"/>
  </r>
  <r>
    <x v="38"/>
    <x v="11"/>
    <x v="1"/>
    <x v="0"/>
    <x v="2"/>
    <n v="43"/>
    <n v="108"/>
  </r>
  <r>
    <x v="39"/>
    <x v="10"/>
    <x v="1"/>
    <x v="0"/>
    <x v="2"/>
    <n v="56"/>
    <n v="94"/>
  </r>
  <r>
    <x v="39"/>
    <x v="8"/>
    <x v="2"/>
    <x v="0"/>
    <x v="1"/>
    <n v="98"/>
    <n v="52"/>
  </r>
  <r>
    <x v="39"/>
    <x v="9"/>
    <x v="2"/>
    <x v="0"/>
    <x v="2"/>
    <n v="22"/>
    <n v="88"/>
  </r>
  <r>
    <x v="39"/>
    <x v="4"/>
    <x v="1"/>
    <x v="0"/>
    <x v="0"/>
    <n v="63"/>
    <n v="45"/>
  </r>
  <r>
    <x v="39"/>
    <x v="7"/>
    <x v="1"/>
    <x v="1"/>
    <x v="1"/>
    <n v="45"/>
    <n v="43"/>
  </r>
  <r>
    <x v="39"/>
    <x v="4"/>
    <x v="1"/>
    <x v="0"/>
    <x v="2"/>
    <n v="49"/>
    <n v="24"/>
  </r>
  <r>
    <x v="39"/>
    <x v="12"/>
    <x v="2"/>
    <x v="1"/>
    <x v="1"/>
    <n v="82"/>
    <n v="112"/>
  </r>
  <r>
    <x v="39"/>
    <x v="12"/>
    <x v="2"/>
    <x v="1"/>
    <x v="2"/>
    <n v="81"/>
    <n v="70"/>
  </r>
  <r>
    <x v="40"/>
    <x v="0"/>
    <x v="0"/>
    <x v="1"/>
    <x v="1"/>
    <n v="22"/>
    <n v="90"/>
  </r>
  <r>
    <x v="40"/>
    <x v="5"/>
    <x v="0"/>
    <x v="1"/>
    <x v="1"/>
    <n v="16"/>
    <n v="40"/>
  </r>
  <r>
    <x v="40"/>
    <x v="9"/>
    <x v="2"/>
    <x v="0"/>
    <x v="2"/>
    <n v="62"/>
    <n v="78"/>
  </r>
  <r>
    <x v="40"/>
    <x v="14"/>
    <x v="2"/>
    <x v="1"/>
    <x v="0"/>
    <n v="37"/>
    <n v="106"/>
  </r>
  <r>
    <x v="40"/>
    <x v="1"/>
    <x v="1"/>
    <x v="0"/>
    <x v="0"/>
    <n v="37"/>
    <n v="103"/>
  </r>
  <r>
    <x v="41"/>
    <x v="9"/>
    <x v="2"/>
    <x v="0"/>
    <x v="0"/>
    <n v="81"/>
    <n v="149"/>
  </r>
  <r>
    <x v="41"/>
    <x v="4"/>
    <x v="1"/>
    <x v="1"/>
    <x v="1"/>
    <n v="40"/>
    <n v="38"/>
  </r>
  <r>
    <x v="42"/>
    <x v="0"/>
    <x v="0"/>
    <x v="0"/>
    <x v="0"/>
    <n v="34"/>
    <n v="65"/>
  </r>
  <r>
    <x v="42"/>
    <x v="9"/>
    <x v="2"/>
    <x v="0"/>
    <x v="1"/>
    <n v="12"/>
    <n v="21"/>
  </r>
  <r>
    <x v="42"/>
    <x v="7"/>
    <x v="1"/>
    <x v="0"/>
    <x v="2"/>
    <n v="42"/>
    <n v="123"/>
  </r>
  <r>
    <x v="42"/>
    <x v="1"/>
    <x v="1"/>
    <x v="0"/>
    <x v="1"/>
    <n v="31"/>
    <n v="136"/>
  </r>
  <r>
    <x v="42"/>
    <x v="9"/>
    <x v="2"/>
    <x v="0"/>
    <x v="1"/>
    <n v="95"/>
    <n v="76"/>
  </r>
  <r>
    <x v="42"/>
    <x v="14"/>
    <x v="2"/>
    <x v="1"/>
    <x v="0"/>
    <n v="53"/>
    <n v="96"/>
  </r>
  <r>
    <x v="42"/>
    <x v="13"/>
    <x v="0"/>
    <x v="0"/>
    <x v="2"/>
    <n v="42"/>
    <n v="138"/>
  </r>
  <r>
    <x v="43"/>
    <x v="2"/>
    <x v="0"/>
    <x v="0"/>
    <x v="2"/>
    <n v="72"/>
    <n v="39"/>
  </r>
  <r>
    <x v="43"/>
    <x v="5"/>
    <x v="0"/>
    <x v="1"/>
    <x v="0"/>
    <n v="76"/>
    <n v="53"/>
  </r>
  <r>
    <x v="43"/>
    <x v="1"/>
    <x v="1"/>
    <x v="1"/>
    <x v="0"/>
    <n v="88"/>
    <n v="75"/>
  </r>
  <r>
    <x v="43"/>
    <x v="6"/>
    <x v="0"/>
    <x v="1"/>
    <x v="1"/>
    <n v="75"/>
    <n v="146"/>
  </r>
  <r>
    <x v="43"/>
    <x v="11"/>
    <x v="1"/>
    <x v="0"/>
    <x v="0"/>
    <n v="94"/>
    <n v="81"/>
  </r>
  <r>
    <x v="43"/>
    <x v="14"/>
    <x v="2"/>
    <x v="1"/>
    <x v="2"/>
    <n v="66"/>
    <n v="31"/>
  </r>
  <r>
    <x v="44"/>
    <x v="4"/>
    <x v="1"/>
    <x v="0"/>
    <x v="1"/>
    <n v="89"/>
    <n v="124"/>
  </r>
  <r>
    <x v="44"/>
    <x v="13"/>
    <x v="0"/>
    <x v="0"/>
    <x v="2"/>
    <n v="89"/>
    <n v="37"/>
  </r>
  <r>
    <x v="44"/>
    <x v="3"/>
    <x v="2"/>
    <x v="0"/>
    <x v="1"/>
    <n v="75"/>
    <n v="102"/>
  </r>
  <r>
    <x v="44"/>
    <x v="6"/>
    <x v="0"/>
    <x v="1"/>
    <x v="1"/>
    <n v="99"/>
    <n v="127"/>
  </r>
  <r>
    <x v="44"/>
    <x v="7"/>
    <x v="1"/>
    <x v="1"/>
    <x v="1"/>
    <n v="56"/>
    <n v="116"/>
  </r>
  <r>
    <x v="44"/>
    <x v="12"/>
    <x v="2"/>
    <x v="1"/>
    <x v="0"/>
    <n v="35"/>
    <n v="65"/>
  </r>
  <r>
    <x v="44"/>
    <x v="7"/>
    <x v="1"/>
    <x v="1"/>
    <x v="2"/>
    <n v="77"/>
    <n v="36"/>
  </r>
  <r>
    <x v="44"/>
    <x v="4"/>
    <x v="1"/>
    <x v="0"/>
    <x v="0"/>
    <n v="91"/>
    <n v="42"/>
  </r>
  <r>
    <x v="44"/>
    <x v="6"/>
    <x v="0"/>
    <x v="0"/>
    <x v="0"/>
    <n v="36"/>
    <n v="94"/>
  </r>
  <r>
    <x v="45"/>
    <x v="9"/>
    <x v="2"/>
    <x v="1"/>
    <x v="2"/>
    <n v="42"/>
    <n v="128"/>
  </r>
  <r>
    <x v="45"/>
    <x v="11"/>
    <x v="1"/>
    <x v="0"/>
    <x v="0"/>
    <n v="42"/>
    <n v="28"/>
  </r>
  <r>
    <x v="45"/>
    <x v="4"/>
    <x v="1"/>
    <x v="1"/>
    <x v="2"/>
    <n v="78"/>
    <n v="109"/>
  </r>
  <r>
    <x v="45"/>
    <x v="11"/>
    <x v="1"/>
    <x v="0"/>
    <x v="2"/>
    <n v="30"/>
    <n v="48"/>
  </r>
  <r>
    <x v="45"/>
    <x v="13"/>
    <x v="0"/>
    <x v="1"/>
    <x v="2"/>
    <n v="73"/>
    <n v="76"/>
  </r>
  <r>
    <x v="46"/>
    <x v="9"/>
    <x v="2"/>
    <x v="0"/>
    <x v="1"/>
    <n v="80"/>
    <n v="117"/>
  </r>
  <r>
    <x v="46"/>
    <x v="11"/>
    <x v="1"/>
    <x v="0"/>
    <x v="1"/>
    <n v="34"/>
    <n v="50"/>
  </r>
  <r>
    <x v="46"/>
    <x v="9"/>
    <x v="2"/>
    <x v="0"/>
    <x v="0"/>
    <n v="60"/>
    <n v="97"/>
  </r>
  <r>
    <x v="46"/>
    <x v="10"/>
    <x v="1"/>
    <x v="0"/>
    <x v="1"/>
    <n v="74"/>
    <n v="38"/>
  </r>
  <r>
    <x v="47"/>
    <x v="9"/>
    <x v="2"/>
    <x v="0"/>
    <x v="1"/>
    <n v="77"/>
    <n v="26"/>
  </r>
  <r>
    <x v="47"/>
    <x v="10"/>
    <x v="1"/>
    <x v="1"/>
    <x v="0"/>
    <n v="13"/>
    <n v="130"/>
  </r>
  <r>
    <x v="47"/>
    <x v="9"/>
    <x v="2"/>
    <x v="1"/>
    <x v="1"/>
    <n v="41"/>
    <n v="99"/>
  </r>
  <r>
    <x v="47"/>
    <x v="11"/>
    <x v="1"/>
    <x v="1"/>
    <x v="2"/>
    <n v="83"/>
    <n v="30"/>
  </r>
  <r>
    <x v="47"/>
    <x v="5"/>
    <x v="0"/>
    <x v="0"/>
    <x v="0"/>
    <n v="89"/>
    <n v="23"/>
  </r>
  <r>
    <x v="47"/>
    <x v="11"/>
    <x v="1"/>
    <x v="0"/>
    <x v="1"/>
    <n v="59"/>
    <n v="98"/>
  </r>
  <r>
    <x v="47"/>
    <x v="11"/>
    <x v="1"/>
    <x v="0"/>
    <x v="0"/>
    <n v="91"/>
    <n v="52"/>
  </r>
  <r>
    <x v="47"/>
    <x v="7"/>
    <x v="1"/>
    <x v="0"/>
    <x v="0"/>
    <n v="48"/>
    <n v="36"/>
  </r>
  <r>
    <x v="47"/>
    <x v="11"/>
    <x v="1"/>
    <x v="0"/>
    <x v="0"/>
    <n v="36"/>
    <n v="134"/>
  </r>
  <r>
    <x v="47"/>
    <x v="9"/>
    <x v="2"/>
    <x v="1"/>
    <x v="2"/>
    <n v="25"/>
    <n v="107"/>
  </r>
  <r>
    <x v="47"/>
    <x v="1"/>
    <x v="1"/>
    <x v="0"/>
    <x v="2"/>
    <n v="26"/>
    <n v="108"/>
  </r>
  <r>
    <x v="47"/>
    <x v="7"/>
    <x v="1"/>
    <x v="0"/>
    <x v="0"/>
    <n v="39"/>
    <n v="56"/>
  </r>
  <r>
    <x v="47"/>
    <x v="1"/>
    <x v="1"/>
    <x v="1"/>
    <x v="2"/>
    <n v="75"/>
    <n v="121"/>
  </r>
  <r>
    <x v="48"/>
    <x v="8"/>
    <x v="2"/>
    <x v="1"/>
    <x v="1"/>
    <n v="44"/>
    <n v="106"/>
  </r>
  <r>
    <x v="48"/>
    <x v="9"/>
    <x v="2"/>
    <x v="1"/>
    <x v="2"/>
    <n v="58"/>
    <n v="150"/>
  </r>
  <r>
    <x v="48"/>
    <x v="9"/>
    <x v="2"/>
    <x v="0"/>
    <x v="1"/>
    <n v="68"/>
    <n v="102"/>
  </r>
  <r>
    <x v="48"/>
    <x v="14"/>
    <x v="2"/>
    <x v="1"/>
    <x v="1"/>
    <n v="70"/>
    <n v="140"/>
  </r>
  <r>
    <x v="48"/>
    <x v="2"/>
    <x v="0"/>
    <x v="1"/>
    <x v="2"/>
    <n v="67"/>
    <n v="36"/>
  </r>
  <r>
    <x v="48"/>
    <x v="9"/>
    <x v="2"/>
    <x v="0"/>
    <x v="1"/>
    <n v="94"/>
    <n v="76"/>
  </r>
  <r>
    <x v="49"/>
    <x v="2"/>
    <x v="0"/>
    <x v="0"/>
    <x v="2"/>
    <n v="91"/>
    <n v="104"/>
  </r>
  <r>
    <x v="49"/>
    <x v="12"/>
    <x v="2"/>
    <x v="0"/>
    <x v="0"/>
    <n v="63"/>
    <n v="93"/>
  </r>
  <r>
    <x v="49"/>
    <x v="11"/>
    <x v="1"/>
    <x v="0"/>
    <x v="1"/>
    <n v="29"/>
    <n v="129"/>
  </r>
  <r>
    <x v="49"/>
    <x v="3"/>
    <x v="2"/>
    <x v="1"/>
    <x v="2"/>
    <n v="31"/>
    <n v="82"/>
  </r>
  <r>
    <x v="49"/>
    <x v="13"/>
    <x v="0"/>
    <x v="0"/>
    <x v="0"/>
    <n v="21"/>
    <n v="109"/>
  </r>
  <r>
    <x v="49"/>
    <x v="2"/>
    <x v="0"/>
    <x v="1"/>
    <x v="0"/>
    <n v="86"/>
    <n v="37"/>
  </r>
  <r>
    <x v="50"/>
    <x v="12"/>
    <x v="2"/>
    <x v="1"/>
    <x v="1"/>
    <n v="30"/>
    <n v="108"/>
  </r>
  <r>
    <x v="50"/>
    <x v="8"/>
    <x v="2"/>
    <x v="0"/>
    <x v="0"/>
    <n v="21"/>
    <n v="86"/>
  </r>
  <r>
    <x v="50"/>
    <x v="9"/>
    <x v="2"/>
    <x v="1"/>
    <x v="2"/>
    <n v="18"/>
    <n v="51"/>
  </r>
  <r>
    <x v="50"/>
    <x v="6"/>
    <x v="0"/>
    <x v="1"/>
    <x v="2"/>
    <n v="47"/>
    <n v="42"/>
  </r>
  <r>
    <x v="50"/>
    <x v="13"/>
    <x v="0"/>
    <x v="0"/>
    <x v="1"/>
    <n v="78"/>
    <n v="87"/>
  </r>
  <r>
    <x v="50"/>
    <x v="12"/>
    <x v="2"/>
    <x v="1"/>
    <x v="0"/>
    <n v="95"/>
    <n v="29"/>
  </r>
  <r>
    <x v="51"/>
    <x v="7"/>
    <x v="1"/>
    <x v="1"/>
    <x v="2"/>
    <n v="87"/>
    <n v="66"/>
  </r>
  <r>
    <x v="51"/>
    <x v="13"/>
    <x v="0"/>
    <x v="1"/>
    <x v="0"/>
    <n v="77"/>
    <n v="128"/>
  </r>
  <r>
    <x v="51"/>
    <x v="9"/>
    <x v="2"/>
    <x v="0"/>
    <x v="0"/>
    <n v="52"/>
    <n v="91"/>
  </r>
  <r>
    <x v="51"/>
    <x v="6"/>
    <x v="0"/>
    <x v="0"/>
    <x v="2"/>
    <n v="93"/>
    <n v="89"/>
  </r>
  <r>
    <x v="51"/>
    <x v="7"/>
    <x v="1"/>
    <x v="0"/>
    <x v="1"/>
    <n v="41"/>
    <n v="131"/>
  </r>
  <r>
    <x v="52"/>
    <x v="10"/>
    <x v="1"/>
    <x v="1"/>
    <x v="0"/>
    <n v="83"/>
    <n v="30"/>
  </r>
  <r>
    <x v="52"/>
    <x v="13"/>
    <x v="0"/>
    <x v="1"/>
    <x v="1"/>
    <n v="96"/>
    <n v="118"/>
  </r>
  <r>
    <x v="52"/>
    <x v="8"/>
    <x v="2"/>
    <x v="1"/>
    <x v="0"/>
    <n v="30"/>
    <n v="101"/>
  </r>
  <r>
    <x v="52"/>
    <x v="14"/>
    <x v="2"/>
    <x v="1"/>
    <x v="0"/>
    <n v="23"/>
    <n v="33"/>
  </r>
  <r>
    <x v="52"/>
    <x v="3"/>
    <x v="2"/>
    <x v="0"/>
    <x v="2"/>
    <n v="68"/>
    <n v="88"/>
  </r>
  <r>
    <x v="52"/>
    <x v="9"/>
    <x v="2"/>
    <x v="0"/>
    <x v="2"/>
    <n v="98"/>
    <n v="127"/>
  </r>
  <r>
    <x v="52"/>
    <x v="7"/>
    <x v="1"/>
    <x v="1"/>
    <x v="2"/>
    <n v="16"/>
    <n v="69"/>
  </r>
  <r>
    <x v="52"/>
    <x v="13"/>
    <x v="0"/>
    <x v="0"/>
    <x v="1"/>
    <n v="46"/>
    <n v="98"/>
  </r>
  <r>
    <x v="53"/>
    <x v="1"/>
    <x v="1"/>
    <x v="0"/>
    <x v="1"/>
    <n v="65"/>
    <n v="98"/>
  </r>
  <r>
    <x v="53"/>
    <x v="11"/>
    <x v="1"/>
    <x v="0"/>
    <x v="2"/>
    <n v="42"/>
    <n v="117"/>
  </r>
  <r>
    <x v="53"/>
    <x v="10"/>
    <x v="1"/>
    <x v="0"/>
    <x v="1"/>
    <n v="96"/>
    <n v="126"/>
  </r>
  <r>
    <x v="53"/>
    <x v="14"/>
    <x v="2"/>
    <x v="1"/>
    <x v="0"/>
    <n v="96"/>
    <n v="88"/>
  </r>
  <r>
    <x v="53"/>
    <x v="1"/>
    <x v="1"/>
    <x v="0"/>
    <x v="1"/>
    <n v="14"/>
    <n v="97"/>
  </r>
  <r>
    <x v="53"/>
    <x v="10"/>
    <x v="1"/>
    <x v="0"/>
    <x v="1"/>
    <n v="83"/>
    <n v="35"/>
  </r>
  <r>
    <x v="54"/>
    <x v="10"/>
    <x v="1"/>
    <x v="1"/>
    <x v="2"/>
    <n v="83"/>
    <n v="78"/>
  </r>
  <r>
    <x v="54"/>
    <x v="7"/>
    <x v="1"/>
    <x v="0"/>
    <x v="1"/>
    <n v="63"/>
    <n v="78"/>
  </r>
  <r>
    <x v="54"/>
    <x v="14"/>
    <x v="2"/>
    <x v="0"/>
    <x v="2"/>
    <n v="29"/>
    <n v="58"/>
  </r>
  <r>
    <x v="54"/>
    <x v="14"/>
    <x v="2"/>
    <x v="0"/>
    <x v="0"/>
    <n v="85"/>
    <n v="25"/>
  </r>
  <r>
    <x v="54"/>
    <x v="12"/>
    <x v="2"/>
    <x v="0"/>
    <x v="2"/>
    <n v="22"/>
    <n v="77"/>
  </r>
  <r>
    <x v="55"/>
    <x v="4"/>
    <x v="1"/>
    <x v="0"/>
    <x v="1"/>
    <n v="21"/>
    <n v="107"/>
  </r>
  <r>
    <x v="55"/>
    <x v="6"/>
    <x v="0"/>
    <x v="1"/>
    <x v="1"/>
    <n v="33"/>
    <n v="50"/>
  </r>
  <r>
    <x v="55"/>
    <x v="1"/>
    <x v="1"/>
    <x v="0"/>
    <x v="2"/>
    <n v="62"/>
    <n v="49"/>
  </r>
  <r>
    <x v="55"/>
    <x v="8"/>
    <x v="2"/>
    <x v="0"/>
    <x v="0"/>
    <n v="26"/>
    <n v="69"/>
  </r>
  <r>
    <x v="55"/>
    <x v="11"/>
    <x v="1"/>
    <x v="1"/>
    <x v="2"/>
    <n v="43"/>
    <n v="33"/>
  </r>
  <r>
    <x v="55"/>
    <x v="8"/>
    <x v="2"/>
    <x v="1"/>
    <x v="2"/>
    <n v="47"/>
    <n v="45"/>
  </r>
  <r>
    <x v="55"/>
    <x v="2"/>
    <x v="0"/>
    <x v="0"/>
    <x v="0"/>
    <n v="80"/>
    <n v="76"/>
  </r>
  <r>
    <x v="56"/>
    <x v="11"/>
    <x v="1"/>
    <x v="1"/>
    <x v="2"/>
    <n v="46"/>
    <n v="86"/>
  </r>
  <r>
    <x v="56"/>
    <x v="8"/>
    <x v="2"/>
    <x v="1"/>
    <x v="0"/>
    <n v="24"/>
    <n v="103"/>
  </r>
  <r>
    <x v="56"/>
    <x v="1"/>
    <x v="1"/>
    <x v="1"/>
    <x v="1"/>
    <n v="50"/>
    <n v="81"/>
  </r>
  <r>
    <x v="56"/>
    <x v="4"/>
    <x v="1"/>
    <x v="1"/>
    <x v="0"/>
    <n v="38"/>
    <n v="44"/>
  </r>
  <r>
    <x v="56"/>
    <x v="6"/>
    <x v="0"/>
    <x v="1"/>
    <x v="0"/>
    <n v="87"/>
    <n v="108"/>
  </r>
  <r>
    <x v="56"/>
    <x v="7"/>
    <x v="1"/>
    <x v="1"/>
    <x v="1"/>
    <n v="73"/>
    <n v="81"/>
  </r>
  <r>
    <x v="56"/>
    <x v="5"/>
    <x v="0"/>
    <x v="0"/>
    <x v="2"/>
    <n v="70"/>
    <n v="110"/>
  </r>
  <r>
    <x v="56"/>
    <x v="5"/>
    <x v="0"/>
    <x v="1"/>
    <x v="2"/>
    <n v="55"/>
    <n v="138"/>
  </r>
  <r>
    <x v="56"/>
    <x v="11"/>
    <x v="1"/>
    <x v="1"/>
    <x v="1"/>
    <n v="27"/>
    <n v="135"/>
  </r>
  <r>
    <x v="56"/>
    <x v="9"/>
    <x v="2"/>
    <x v="0"/>
    <x v="2"/>
    <n v="60"/>
    <n v="48"/>
  </r>
  <r>
    <x v="56"/>
    <x v="14"/>
    <x v="2"/>
    <x v="0"/>
    <x v="1"/>
    <n v="34"/>
    <n v="147"/>
  </r>
  <r>
    <x v="56"/>
    <x v="0"/>
    <x v="0"/>
    <x v="0"/>
    <x v="2"/>
    <n v="24"/>
    <n v="143"/>
  </r>
  <r>
    <x v="56"/>
    <x v="9"/>
    <x v="2"/>
    <x v="1"/>
    <x v="2"/>
    <n v="27"/>
    <n v="80"/>
  </r>
  <r>
    <x v="57"/>
    <x v="7"/>
    <x v="1"/>
    <x v="1"/>
    <x v="2"/>
    <n v="41"/>
    <n v="94"/>
  </r>
  <r>
    <x v="57"/>
    <x v="3"/>
    <x v="2"/>
    <x v="0"/>
    <x v="0"/>
    <n v="39"/>
    <n v="60"/>
  </r>
  <r>
    <x v="57"/>
    <x v="7"/>
    <x v="1"/>
    <x v="1"/>
    <x v="2"/>
    <n v="27"/>
    <n v="108"/>
  </r>
  <r>
    <x v="57"/>
    <x v="14"/>
    <x v="2"/>
    <x v="0"/>
    <x v="2"/>
    <n v="83"/>
    <n v="77"/>
  </r>
  <r>
    <x v="57"/>
    <x v="3"/>
    <x v="2"/>
    <x v="0"/>
    <x v="1"/>
    <n v="37"/>
    <n v="81"/>
  </r>
  <r>
    <x v="57"/>
    <x v="6"/>
    <x v="0"/>
    <x v="1"/>
    <x v="0"/>
    <n v="88"/>
    <n v="68"/>
  </r>
  <r>
    <x v="57"/>
    <x v="11"/>
    <x v="1"/>
    <x v="1"/>
    <x v="1"/>
    <n v="26"/>
    <n v="30"/>
  </r>
  <r>
    <x v="57"/>
    <x v="3"/>
    <x v="2"/>
    <x v="1"/>
    <x v="1"/>
    <n v="76"/>
    <n v="150"/>
  </r>
  <r>
    <x v="57"/>
    <x v="9"/>
    <x v="2"/>
    <x v="0"/>
    <x v="2"/>
    <n v="94"/>
    <n v="79"/>
  </r>
  <r>
    <x v="57"/>
    <x v="2"/>
    <x v="0"/>
    <x v="1"/>
    <x v="2"/>
    <n v="21"/>
    <n v="142"/>
  </r>
  <r>
    <x v="57"/>
    <x v="0"/>
    <x v="0"/>
    <x v="1"/>
    <x v="2"/>
    <n v="77"/>
    <n v="66"/>
  </r>
  <r>
    <x v="58"/>
    <x v="12"/>
    <x v="2"/>
    <x v="1"/>
    <x v="1"/>
    <n v="39"/>
    <n v="67"/>
  </r>
  <r>
    <x v="58"/>
    <x v="12"/>
    <x v="2"/>
    <x v="0"/>
    <x v="2"/>
    <n v="83"/>
    <n v="87"/>
  </r>
  <r>
    <x v="58"/>
    <x v="9"/>
    <x v="2"/>
    <x v="1"/>
    <x v="2"/>
    <n v="75"/>
    <n v="25"/>
  </r>
  <r>
    <x v="59"/>
    <x v="2"/>
    <x v="0"/>
    <x v="0"/>
    <x v="2"/>
    <n v="51"/>
    <n v="91"/>
  </r>
  <r>
    <x v="59"/>
    <x v="4"/>
    <x v="1"/>
    <x v="1"/>
    <x v="2"/>
    <n v="34"/>
    <n v="49"/>
  </r>
  <r>
    <x v="59"/>
    <x v="8"/>
    <x v="2"/>
    <x v="0"/>
    <x v="0"/>
    <n v="29"/>
    <n v="105"/>
  </r>
  <r>
    <x v="59"/>
    <x v="3"/>
    <x v="2"/>
    <x v="0"/>
    <x v="1"/>
    <n v="13"/>
    <n v="27"/>
  </r>
  <r>
    <x v="59"/>
    <x v="11"/>
    <x v="1"/>
    <x v="0"/>
    <x v="0"/>
    <n v="49"/>
    <n v="128"/>
  </r>
  <r>
    <x v="59"/>
    <x v="10"/>
    <x v="1"/>
    <x v="1"/>
    <x v="1"/>
    <n v="80"/>
    <n v="115"/>
  </r>
  <r>
    <x v="59"/>
    <x v="6"/>
    <x v="0"/>
    <x v="0"/>
    <x v="2"/>
    <n v="20"/>
    <n v="122"/>
  </r>
  <r>
    <x v="59"/>
    <x v="12"/>
    <x v="2"/>
    <x v="0"/>
    <x v="2"/>
    <n v="85"/>
    <n v="52"/>
  </r>
  <r>
    <x v="60"/>
    <x v="11"/>
    <x v="1"/>
    <x v="1"/>
    <x v="2"/>
    <n v="72"/>
    <n v="74"/>
  </r>
  <r>
    <x v="60"/>
    <x v="5"/>
    <x v="0"/>
    <x v="0"/>
    <x v="1"/>
    <n v="14"/>
    <n v="122"/>
  </r>
  <r>
    <x v="60"/>
    <x v="13"/>
    <x v="0"/>
    <x v="1"/>
    <x v="2"/>
    <n v="25"/>
    <n v="121"/>
  </r>
  <r>
    <x v="60"/>
    <x v="6"/>
    <x v="0"/>
    <x v="1"/>
    <x v="0"/>
    <n v="85"/>
    <n v="64"/>
  </r>
  <r>
    <x v="60"/>
    <x v="4"/>
    <x v="1"/>
    <x v="1"/>
    <x v="0"/>
    <n v="86"/>
    <n v="48"/>
  </r>
  <r>
    <x v="60"/>
    <x v="6"/>
    <x v="0"/>
    <x v="0"/>
    <x v="2"/>
    <n v="42"/>
    <n v="111"/>
  </r>
  <r>
    <x v="60"/>
    <x v="3"/>
    <x v="2"/>
    <x v="0"/>
    <x v="0"/>
    <n v="36"/>
    <n v="82"/>
  </r>
  <r>
    <x v="60"/>
    <x v="13"/>
    <x v="0"/>
    <x v="1"/>
    <x v="0"/>
    <n v="64"/>
    <n v="31"/>
  </r>
  <r>
    <x v="61"/>
    <x v="9"/>
    <x v="2"/>
    <x v="0"/>
    <x v="1"/>
    <n v="28"/>
    <n v="118"/>
  </r>
  <r>
    <x v="61"/>
    <x v="8"/>
    <x v="2"/>
    <x v="0"/>
    <x v="2"/>
    <n v="23"/>
    <n v="74"/>
  </r>
  <r>
    <x v="61"/>
    <x v="11"/>
    <x v="1"/>
    <x v="1"/>
    <x v="2"/>
    <n v="66"/>
    <n v="100"/>
  </r>
  <r>
    <x v="62"/>
    <x v="3"/>
    <x v="2"/>
    <x v="1"/>
    <x v="1"/>
    <n v="58"/>
    <n v="56"/>
  </r>
  <r>
    <x v="62"/>
    <x v="9"/>
    <x v="2"/>
    <x v="0"/>
    <x v="2"/>
    <n v="58"/>
    <n v="60"/>
  </r>
  <r>
    <x v="62"/>
    <x v="11"/>
    <x v="1"/>
    <x v="0"/>
    <x v="1"/>
    <n v="58"/>
    <n v="125"/>
  </r>
  <r>
    <x v="62"/>
    <x v="7"/>
    <x v="1"/>
    <x v="1"/>
    <x v="2"/>
    <n v="37"/>
    <n v="37"/>
  </r>
  <r>
    <x v="62"/>
    <x v="6"/>
    <x v="0"/>
    <x v="1"/>
    <x v="2"/>
    <n v="58"/>
    <n v="111"/>
  </r>
  <r>
    <x v="62"/>
    <x v="6"/>
    <x v="0"/>
    <x v="1"/>
    <x v="2"/>
    <n v="21"/>
    <n v="107"/>
  </r>
  <r>
    <x v="62"/>
    <x v="2"/>
    <x v="0"/>
    <x v="0"/>
    <x v="2"/>
    <n v="36"/>
    <n v="59"/>
  </r>
  <r>
    <x v="63"/>
    <x v="13"/>
    <x v="0"/>
    <x v="1"/>
    <x v="1"/>
    <n v="37"/>
    <n v="138"/>
  </r>
  <r>
    <x v="63"/>
    <x v="7"/>
    <x v="1"/>
    <x v="0"/>
    <x v="2"/>
    <n v="19"/>
    <n v="114"/>
  </r>
  <r>
    <x v="63"/>
    <x v="6"/>
    <x v="0"/>
    <x v="0"/>
    <x v="0"/>
    <n v="50"/>
    <n v="128"/>
  </r>
  <r>
    <x v="63"/>
    <x v="0"/>
    <x v="0"/>
    <x v="0"/>
    <x v="0"/>
    <n v="17"/>
    <n v="90"/>
  </r>
  <r>
    <x v="63"/>
    <x v="10"/>
    <x v="1"/>
    <x v="1"/>
    <x v="0"/>
    <n v="62"/>
    <n v="56"/>
  </r>
  <r>
    <x v="63"/>
    <x v="3"/>
    <x v="2"/>
    <x v="0"/>
    <x v="0"/>
    <n v="41"/>
    <n v="106"/>
  </r>
  <r>
    <x v="63"/>
    <x v="9"/>
    <x v="2"/>
    <x v="0"/>
    <x v="1"/>
    <n v="56"/>
    <n v="77"/>
  </r>
  <r>
    <x v="63"/>
    <x v="0"/>
    <x v="0"/>
    <x v="0"/>
    <x v="2"/>
    <n v="73"/>
    <n v="123"/>
  </r>
  <r>
    <x v="63"/>
    <x v="7"/>
    <x v="1"/>
    <x v="0"/>
    <x v="0"/>
    <n v="12"/>
    <n v="87"/>
  </r>
  <r>
    <x v="63"/>
    <x v="14"/>
    <x v="2"/>
    <x v="1"/>
    <x v="2"/>
    <n v="26"/>
    <n v="26"/>
  </r>
  <r>
    <x v="63"/>
    <x v="11"/>
    <x v="1"/>
    <x v="1"/>
    <x v="0"/>
    <n v="51"/>
    <n v="110"/>
  </r>
  <r>
    <x v="63"/>
    <x v="11"/>
    <x v="1"/>
    <x v="1"/>
    <x v="2"/>
    <n v="96"/>
    <n v="24"/>
  </r>
  <r>
    <x v="64"/>
    <x v="10"/>
    <x v="1"/>
    <x v="1"/>
    <x v="1"/>
    <n v="41"/>
    <n v="145"/>
  </r>
  <r>
    <x v="64"/>
    <x v="10"/>
    <x v="1"/>
    <x v="0"/>
    <x v="0"/>
    <n v="59"/>
    <n v="111"/>
  </r>
  <r>
    <x v="64"/>
    <x v="12"/>
    <x v="2"/>
    <x v="0"/>
    <x v="1"/>
    <n v="33"/>
    <n v="60"/>
  </r>
  <r>
    <x v="64"/>
    <x v="2"/>
    <x v="0"/>
    <x v="0"/>
    <x v="0"/>
    <n v="55"/>
    <n v="78"/>
  </r>
  <r>
    <x v="64"/>
    <x v="11"/>
    <x v="1"/>
    <x v="0"/>
    <x v="2"/>
    <n v="100"/>
    <n v="25"/>
  </r>
  <r>
    <x v="64"/>
    <x v="11"/>
    <x v="1"/>
    <x v="1"/>
    <x v="0"/>
    <n v="82"/>
    <n v="130"/>
  </r>
  <r>
    <x v="64"/>
    <x v="14"/>
    <x v="2"/>
    <x v="0"/>
    <x v="0"/>
    <n v="63"/>
    <n v="106"/>
  </r>
  <r>
    <x v="64"/>
    <x v="3"/>
    <x v="2"/>
    <x v="1"/>
    <x v="2"/>
    <n v="40"/>
    <n v="90"/>
  </r>
  <r>
    <x v="64"/>
    <x v="6"/>
    <x v="0"/>
    <x v="1"/>
    <x v="0"/>
    <n v="80"/>
    <n v="21"/>
  </r>
  <r>
    <x v="65"/>
    <x v="3"/>
    <x v="2"/>
    <x v="0"/>
    <x v="2"/>
    <n v="24"/>
    <n v="86"/>
  </r>
  <r>
    <x v="65"/>
    <x v="8"/>
    <x v="2"/>
    <x v="0"/>
    <x v="0"/>
    <n v="85"/>
    <n v="89"/>
  </r>
  <r>
    <x v="65"/>
    <x v="11"/>
    <x v="1"/>
    <x v="1"/>
    <x v="2"/>
    <n v="50"/>
    <n v="50"/>
  </r>
  <r>
    <x v="65"/>
    <x v="0"/>
    <x v="0"/>
    <x v="1"/>
    <x v="1"/>
    <n v="92"/>
    <n v="38"/>
  </r>
  <r>
    <x v="65"/>
    <x v="8"/>
    <x v="2"/>
    <x v="1"/>
    <x v="1"/>
    <n v="25"/>
    <n v="39"/>
  </r>
  <r>
    <x v="65"/>
    <x v="3"/>
    <x v="2"/>
    <x v="1"/>
    <x v="0"/>
    <n v="45"/>
    <n v="139"/>
  </r>
  <r>
    <x v="66"/>
    <x v="8"/>
    <x v="2"/>
    <x v="1"/>
    <x v="1"/>
    <n v="51"/>
    <n v="83"/>
  </r>
  <r>
    <x v="66"/>
    <x v="13"/>
    <x v="0"/>
    <x v="1"/>
    <x v="1"/>
    <n v="49"/>
    <n v="149"/>
  </r>
  <r>
    <x v="66"/>
    <x v="5"/>
    <x v="0"/>
    <x v="1"/>
    <x v="0"/>
    <n v="85"/>
    <n v="83"/>
  </r>
  <r>
    <x v="66"/>
    <x v="6"/>
    <x v="0"/>
    <x v="1"/>
    <x v="2"/>
    <n v="86"/>
    <n v="115"/>
  </r>
  <r>
    <x v="66"/>
    <x v="11"/>
    <x v="1"/>
    <x v="0"/>
    <x v="0"/>
    <n v="14"/>
    <n v="145"/>
  </r>
  <r>
    <x v="66"/>
    <x v="1"/>
    <x v="1"/>
    <x v="0"/>
    <x v="1"/>
    <n v="14"/>
    <n v="104"/>
  </r>
  <r>
    <x v="66"/>
    <x v="6"/>
    <x v="0"/>
    <x v="0"/>
    <x v="0"/>
    <n v="32"/>
    <n v="133"/>
  </r>
  <r>
    <x v="66"/>
    <x v="10"/>
    <x v="1"/>
    <x v="0"/>
    <x v="0"/>
    <n v="50"/>
    <n v="32"/>
  </r>
  <r>
    <x v="66"/>
    <x v="2"/>
    <x v="0"/>
    <x v="0"/>
    <x v="1"/>
    <n v="29"/>
    <n v="128"/>
  </r>
  <r>
    <x v="66"/>
    <x v="2"/>
    <x v="0"/>
    <x v="1"/>
    <x v="1"/>
    <n v="41"/>
    <n v="30"/>
  </r>
  <r>
    <x v="66"/>
    <x v="1"/>
    <x v="1"/>
    <x v="0"/>
    <x v="0"/>
    <n v="89"/>
    <n v="97"/>
  </r>
  <r>
    <x v="67"/>
    <x v="1"/>
    <x v="1"/>
    <x v="0"/>
    <x v="0"/>
    <n v="30"/>
    <n v="85"/>
  </r>
  <r>
    <x v="67"/>
    <x v="13"/>
    <x v="0"/>
    <x v="1"/>
    <x v="2"/>
    <n v="84"/>
    <n v="143"/>
  </r>
  <r>
    <x v="67"/>
    <x v="9"/>
    <x v="2"/>
    <x v="0"/>
    <x v="2"/>
    <n v="53"/>
    <n v="37"/>
  </r>
  <r>
    <x v="67"/>
    <x v="12"/>
    <x v="2"/>
    <x v="1"/>
    <x v="0"/>
    <n v="93"/>
    <n v="53"/>
  </r>
  <r>
    <x v="68"/>
    <x v="14"/>
    <x v="2"/>
    <x v="1"/>
    <x v="2"/>
    <n v="34"/>
    <n v="124"/>
  </r>
  <r>
    <x v="68"/>
    <x v="5"/>
    <x v="0"/>
    <x v="0"/>
    <x v="2"/>
    <n v="91"/>
    <n v="138"/>
  </r>
  <r>
    <x v="68"/>
    <x v="13"/>
    <x v="0"/>
    <x v="0"/>
    <x v="0"/>
    <n v="63"/>
    <n v="122"/>
  </r>
  <r>
    <x v="68"/>
    <x v="6"/>
    <x v="0"/>
    <x v="0"/>
    <x v="2"/>
    <n v="82"/>
    <n v="101"/>
  </r>
  <r>
    <x v="68"/>
    <x v="7"/>
    <x v="1"/>
    <x v="0"/>
    <x v="0"/>
    <n v="61"/>
    <n v="52"/>
  </r>
  <r>
    <x v="69"/>
    <x v="0"/>
    <x v="0"/>
    <x v="1"/>
    <x v="0"/>
    <n v="43"/>
    <n v="109"/>
  </r>
  <r>
    <x v="69"/>
    <x v="13"/>
    <x v="0"/>
    <x v="1"/>
    <x v="2"/>
    <n v="74"/>
    <n v="33"/>
  </r>
  <r>
    <x v="69"/>
    <x v="1"/>
    <x v="1"/>
    <x v="1"/>
    <x v="2"/>
    <n v="14"/>
    <n v="116"/>
  </r>
  <r>
    <x v="69"/>
    <x v="4"/>
    <x v="1"/>
    <x v="0"/>
    <x v="2"/>
    <n v="57"/>
    <n v="139"/>
  </r>
  <r>
    <x v="69"/>
    <x v="3"/>
    <x v="2"/>
    <x v="1"/>
    <x v="0"/>
    <n v="90"/>
    <n v="93"/>
  </r>
  <r>
    <x v="69"/>
    <x v="9"/>
    <x v="2"/>
    <x v="0"/>
    <x v="1"/>
    <n v="41"/>
    <n v="31"/>
  </r>
  <r>
    <x v="69"/>
    <x v="4"/>
    <x v="1"/>
    <x v="1"/>
    <x v="2"/>
    <n v="56"/>
    <n v="146"/>
  </r>
  <r>
    <x v="69"/>
    <x v="9"/>
    <x v="2"/>
    <x v="1"/>
    <x v="1"/>
    <n v="40"/>
    <n v="94"/>
  </r>
  <r>
    <x v="69"/>
    <x v="1"/>
    <x v="1"/>
    <x v="0"/>
    <x v="0"/>
    <n v="26"/>
    <n v="130"/>
  </r>
  <r>
    <x v="69"/>
    <x v="8"/>
    <x v="2"/>
    <x v="1"/>
    <x v="2"/>
    <n v="48"/>
    <n v="106"/>
  </r>
  <r>
    <x v="70"/>
    <x v="9"/>
    <x v="2"/>
    <x v="0"/>
    <x v="1"/>
    <n v="91"/>
    <n v="37"/>
  </r>
  <r>
    <x v="70"/>
    <x v="4"/>
    <x v="1"/>
    <x v="0"/>
    <x v="1"/>
    <n v="71"/>
    <n v="82"/>
  </r>
  <r>
    <x v="70"/>
    <x v="3"/>
    <x v="2"/>
    <x v="0"/>
    <x v="0"/>
    <n v="33"/>
    <n v="75"/>
  </r>
  <r>
    <x v="70"/>
    <x v="14"/>
    <x v="2"/>
    <x v="0"/>
    <x v="0"/>
    <n v="77"/>
    <n v="120"/>
  </r>
  <r>
    <x v="70"/>
    <x v="6"/>
    <x v="0"/>
    <x v="0"/>
    <x v="1"/>
    <n v="63"/>
    <n v="77"/>
  </r>
  <r>
    <x v="70"/>
    <x v="6"/>
    <x v="0"/>
    <x v="1"/>
    <x v="2"/>
    <n v="31"/>
    <n v="29"/>
  </r>
  <r>
    <x v="70"/>
    <x v="14"/>
    <x v="2"/>
    <x v="1"/>
    <x v="2"/>
    <n v="53"/>
    <n v="104"/>
  </r>
  <r>
    <x v="70"/>
    <x v="9"/>
    <x v="2"/>
    <x v="0"/>
    <x v="1"/>
    <n v="92"/>
    <n v="48"/>
  </r>
  <r>
    <x v="70"/>
    <x v="12"/>
    <x v="2"/>
    <x v="1"/>
    <x v="2"/>
    <n v="54"/>
    <n v="118"/>
  </r>
  <r>
    <x v="70"/>
    <x v="9"/>
    <x v="2"/>
    <x v="0"/>
    <x v="2"/>
    <n v="92"/>
    <n v="49"/>
  </r>
  <r>
    <x v="70"/>
    <x v="8"/>
    <x v="2"/>
    <x v="1"/>
    <x v="1"/>
    <n v="38"/>
    <n v="150"/>
  </r>
  <r>
    <x v="71"/>
    <x v="8"/>
    <x v="2"/>
    <x v="0"/>
    <x v="0"/>
    <n v="61"/>
    <n v="30"/>
  </r>
  <r>
    <x v="71"/>
    <x v="8"/>
    <x v="2"/>
    <x v="0"/>
    <x v="1"/>
    <n v="26"/>
    <n v="48"/>
  </r>
  <r>
    <x v="71"/>
    <x v="8"/>
    <x v="2"/>
    <x v="1"/>
    <x v="0"/>
    <n v="14"/>
    <n v="110"/>
  </r>
  <r>
    <x v="71"/>
    <x v="10"/>
    <x v="1"/>
    <x v="0"/>
    <x v="2"/>
    <n v="39"/>
    <n v="20"/>
  </r>
  <r>
    <x v="71"/>
    <x v="4"/>
    <x v="1"/>
    <x v="0"/>
    <x v="0"/>
    <n v="13"/>
    <n v="103"/>
  </r>
  <r>
    <x v="71"/>
    <x v="7"/>
    <x v="1"/>
    <x v="1"/>
    <x v="0"/>
    <n v="74"/>
    <n v="78"/>
  </r>
  <r>
    <x v="71"/>
    <x v="12"/>
    <x v="2"/>
    <x v="1"/>
    <x v="1"/>
    <n v="86"/>
    <n v="100"/>
  </r>
  <r>
    <x v="71"/>
    <x v="4"/>
    <x v="1"/>
    <x v="1"/>
    <x v="2"/>
    <n v="75"/>
    <n v="106"/>
  </r>
  <r>
    <x v="71"/>
    <x v="12"/>
    <x v="2"/>
    <x v="1"/>
    <x v="0"/>
    <n v="21"/>
    <n v="150"/>
  </r>
  <r>
    <x v="71"/>
    <x v="1"/>
    <x v="1"/>
    <x v="0"/>
    <x v="2"/>
    <n v="66"/>
    <n v="80"/>
  </r>
  <r>
    <x v="71"/>
    <x v="10"/>
    <x v="1"/>
    <x v="0"/>
    <x v="0"/>
    <n v="22"/>
    <n v="78"/>
  </r>
  <r>
    <x v="71"/>
    <x v="3"/>
    <x v="2"/>
    <x v="0"/>
    <x v="2"/>
    <n v="41"/>
    <n v="25"/>
  </r>
  <r>
    <x v="72"/>
    <x v="8"/>
    <x v="2"/>
    <x v="0"/>
    <x v="2"/>
    <n v="22"/>
    <n v="85"/>
  </r>
  <r>
    <x v="72"/>
    <x v="14"/>
    <x v="2"/>
    <x v="0"/>
    <x v="1"/>
    <n v="34"/>
    <n v="117"/>
  </r>
  <r>
    <x v="72"/>
    <x v="13"/>
    <x v="0"/>
    <x v="0"/>
    <x v="1"/>
    <n v="63"/>
    <n v="141"/>
  </r>
  <r>
    <x v="72"/>
    <x v="3"/>
    <x v="2"/>
    <x v="0"/>
    <x v="2"/>
    <n v="35"/>
    <n v="44"/>
  </r>
  <r>
    <x v="72"/>
    <x v="0"/>
    <x v="0"/>
    <x v="1"/>
    <x v="1"/>
    <n v="48"/>
    <n v="70"/>
  </r>
  <r>
    <x v="72"/>
    <x v="2"/>
    <x v="0"/>
    <x v="0"/>
    <x v="0"/>
    <n v="67"/>
    <n v="98"/>
  </r>
  <r>
    <x v="72"/>
    <x v="9"/>
    <x v="2"/>
    <x v="0"/>
    <x v="1"/>
    <n v="76"/>
    <n v="139"/>
  </r>
  <r>
    <x v="73"/>
    <x v="9"/>
    <x v="2"/>
    <x v="0"/>
    <x v="2"/>
    <n v="46"/>
    <n v="28"/>
  </r>
  <r>
    <x v="73"/>
    <x v="0"/>
    <x v="0"/>
    <x v="1"/>
    <x v="0"/>
    <n v="97"/>
    <n v="26"/>
  </r>
  <r>
    <x v="73"/>
    <x v="3"/>
    <x v="2"/>
    <x v="0"/>
    <x v="0"/>
    <n v="57"/>
    <n v="127"/>
  </r>
  <r>
    <x v="73"/>
    <x v="1"/>
    <x v="1"/>
    <x v="0"/>
    <x v="0"/>
    <n v="54"/>
    <n v="121"/>
  </r>
  <r>
    <x v="73"/>
    <x v="6"/>
    <x v="0"/>
    <x v="0"/>
    <x v="2"/>
    <n v="93"/>
    <n v="51"/>
  </r>
  <r>
    <x v="74"/>
    <x v="10"/>
    <x v="1"/>
    <x v="0"/>
    <x v="1"/>
    <n v="38"/>
    <n v="20"/>
  </r>
  <r>
    <x v="74"/>
    <x v="11"/>
    <x v="1"/>
    <x v="1"/>
    <x v="2"/>
    <n v="79"/>
    <n v="77"/>
  </r>
  <r>
    <x v="74"/>
    <x v="7"/>
    <x v="1"/>
    <x v="0"/>
    <x v="0"/>
    <n v="79"/>
    <n v="91"/>
  </r>
  <r>
    <x v="75"/>
    <x v="12"/>
    <x v="2"/>
    <x v="0"/>
    <x v="0"/>
    <n v="90"/>
    <n v="78"/>
  </r>
  <r>
    <x v="75"/>
    <x v="12"/>
    <x v="2"/>
    <x v="0"/>
    <x v="2"/>
    <n v="74"/>
    <n v="40"/>
  </r>
  <r>
    <x v="75"/>
    <x v="10"/>
    <x v="1"/>
    <x v="1"/>
    <x v="0"/>
    <n v="88"/>
    <n v="61"/>
  </r>
  <r>
    <x v="75"/>
    <x v="0"/>
    <x v="0"/>
    <x v="1"/>
    <x v="2"/>
    <n v="60"/>
    <n v="57"/>
  </r>
  <r>
    <x v="76"/>
    <x v="5"/>
    <x v="0"/>
    <x v="0"/>
    <x v="1"/>
    <n v="46"/>
    <n v="82"/>
  </r>
  <r>
    <x v="76"/>
    <x v="1"/>
    <x v="1"/>
    <x v="0"/>
    <x v="2"/>
    <n v="94"/>
    <n v="101"/>
  </r>
  <r>
    <x v="76"/>
    <x v="12"/>
    <x v="2"/>
    <x v="0"/>
    <x v="2"/>
    <n v="28"/>
    <n v="45"/>
  </r>
  <r>
    <x v="76"/>
    <x v="13"/>
    <x v="0"/>
    <x v="1"/>
    <x v="1"/>
    <n v="53"/>
    <n v="134"/>
  </r>
  <r>
    <x v="76"/>
    <x v="14"/>
    <x v="2"/>
    <x v="1"/>
    <x v="2"/>
    <n v="55"/>
    <n v="82"/>
  </r>
  <r>
    <x v="77"/>
    <x v="9"/>
    <x v="2"/>
    <x v="1"/>
    <x v="2"/>
    <n v="59"/>
    <n v="95"/>
  </r>
  <r>
    <x v="77"/>
    <x v="2"/>
    <x v="0"/>
    <x v="1"/>
    <x v="2"/>
    <n v="23"/>
    <n v="67"/>
  </r>
  <r>
    <x v="77"/>
    <x v="10"/>
    <x v="1"/>
    <x v="0"/>
    <x v="1"/>
    <n v="64"/>
    <n v="112"/>
  </r>
  <r>
    <x v="77"/>
    <x v="10"/>
    <x v="1"/>
    <x v="1"/>
    <x v="0"/>
    <n v="85"/>
    <n v="129"/>
  </r>
  <r>
    <x v="77"/>
    <x v="1"/>
    <x v="1"/>
    <x v="1"/>
    <x v="2"/>
    <n v="74"/>
    <n v="66"/>
  </r>
  <r>
    <x v="77"/>
    <x v="8"/>
    <x v="2"/>
    <x v="0"/>
    <x v="1"/>
    <n v="32"/>
    <n v="120"/>
  </r>
  <r>
    <x v="77"/>
    <x v="13"/>
    <x v="0"/>
    <x v="1"/>
    <x v="0"/>
    <n v="95"/>
    <n v="116"/>
  </r>
  <r>
    <x v="78"/>
    <x v="4"/>
    <x v="1"/>
    <x v="0"/>
    <x v="1"/>
    <n v="17"/>
    <n v="74"/>
  </r>
  <r>
    <x v="78"/>
    <x v="14"/>
    <x v="2"/>
    <x v="0"/>
    <x v="0"/>
    <n v="90"/>
    <n v="145"/>
  </r>
  <r>
    <x v="78"/>
    <x v="14"/>
    <x v="2"/>
    <x v="0"/>
    <x v="0"/>
    <n v="27"/>
    <n v="56"/>
  </r>
  <r>
    <x v="78"/>
    <x v="6"/>
    <x v="0"/>
    <x v="1"/>
    <x v="0"/>
    <n v="38"/>
    <n v="22"/>
  </r>
  <r>
    <x v="78"/>
    <x v="8"/>
    <x v="2"/>
    <x v="0"/>
    <x v="2"/>
    <n v="89"/>
    <n v="21"/>
  </r>
  <r>
    <x v="78"/>
    <x v="9"/>
    <x v="2"/>
    <x v="0"/>
    <x v="0"/>
    <n v="80"/>
    <n v="109"/>
  </r>
  <r>
    <x v="79"/>
    <x v="1"/>
    <x v="1"/>
    <x v="0"/>
    <x v="0"/>
    <n v="26"/>
    <n v="50"/>
  </r>
  <r>
    <x v="79"/>
    <x v="7"/>
    <x v="1"/>
    <x v="1"/>
    <x v="0"/>
    <n v="95"/>
    <n v="59"/>
  </r>
  <r>
    <x v="79"/>
    <x v="4"/>
    <x v="1"/>
    <x v="1"/>
    <x v="2"/>
    <n v="76"/>
    <n v="137"/>
  </r>
  <r>
    <x v="79"/>
    <x v="5"/>
    <x v="0"/>
    <x v="0"/>
    <x v="2"/>
    <n v="43"/>
    <n v="144"/>
  </r>
  <r>
    <x v="79"/>
    <x v="1"/>
    <x v="1"/>
    <x v="0"/>
    <x v="0"/>
    <n v="87"/>
    <n v="150"/>
  </r>
  <r>
    <x v="79"/>
    <x v="10"/>
    <x v="1"/>
    <x v="1"/>
    <x v="2"/>
    <n v="98"/>
    <n v="77"/>
  </r>
  <r>
    <x v="80"/>
    <x v="10"/>
    <x v="1"/>
    <x v="0"/>
    <x v="2"/>
    <n v="97"/>
    <n v="129"/>
  </r>
  <r>
    <x v="80"/>
    <x v="5"/>
    <x v="0"/>
    <x v="0"/>
    <x v="2"/>
    <n v="18"/>
    <n v="36"/>
  </r>
  <r>
    <x v="80"/>
    <x v="12"/>
    <x v="2"/>
    <x v="0"/>
    <x v="1"/>
    <n v="46"/>
    <n v="118"/>
  </r>
  <r>
    <x v="80"/>
    <x v="5"/>
    <x v="0"/>
    <x v="0"/>
    <x v="1"/>
    <n v="60"/>
    <n v="104"/>
  </r>
  <r>
    <x v="80"/>
    <x v="6"/>
    <x v="0"/>
    <x v="0"/>
    <x v="2"/>
    <n v="48"/>
    <n v="118"/>
  </r>
  <r>
    <x v="80"/>
    <x v="14"/>
    <x v="2"/>
    <x v="0"/>
    <x v="1"/>
    <n v="67"/>
    <n v="58"/>
  </r>
  <r>
    <x v="80"/>
    <x v="9"/>
    <x v="2"/>
    <x v="0"/>
    <x v="1"/>
    <n v="47"/>
    <n v="128"/>
  </r>
  <r>
    <x v="81"/>
    <x v="4"/>
    <x v="1"/>
    <x v="1"/>
    <x v="2"/>
    <n v="61"/>
    <n v="59"/>
  </r>
  <r>
    <x v="81"/>
    <x v="12"/>
    <x v="2"/>
    <x v="1"/>
    <x v="2"/>
    <n v="25"/>
    <n v="78"/>
  </r>
  <r>
    <x v="81"/>
    <x v="0"/>
    <x v="0"/>
    <x v="1"/>
    <x v="0"/>
    <n v="93"/>
    <n v="35"/>
  </r>
  <r>
    <x v="81"/>
    <x v="2"/>
    <x v="0"/>
    <x v="0"/>
    <x v="2"/>
    <n v="35"/>
    <n v="20"/>
  </r>
  <r>
    <x v="81"/>
    <x v="3"/>
    <x v="2"/>
    <x v="0"/>
    <x v="2"/>
    <n v="37"/>
    <n v="118"/>
  </r>
  <r>
    <x v="81"/>
    <x v="10"/>
    <x v="1"/>
    <x v="1"/>
    <x v="1"/>
    <n v="94"/>
    <n v="97"/>
  </r>
  <r>
    <x v="81"/>
    <x v="9"/>
    <x v="2"/>
    <x v="1"/>
    <x v="2"/>
    <n v="61"/>
    <n v="103"/>
  </r>
  <r>
    <x v="81"/>
    <x v="10"/>
    <x v="1"/>
    <x v="1"/>
    <x v="1"/>
    <n v="57"/>
    <n v="121"/>
  </r>
  <r>
    <x v="81"/>
    <x v="1"/>
    <x v="1"/>
    <x v="1"/>
    <x v="1"/>
    <n v="58"/>
    <n v="121"/>
  </r>
  <r>
    <x v="81"/>
    <x v="8"/>
    <x v="2"/>
    <x v="1"/>
    <x v="2"/>
    <n v="58"/>
    <n v="80"/>
  </r>
  <r>
    <x v="82"/>
    <x v="7"/>
    <x v="1"/>
    <x v="1"/>
    <x v="1"/>
    <n v="17"/>
    <n v="83"/>
  </r>
  <r>
    <x v="82"/>
    <x v="13"/>
    <x v="0"/>
    <x v="1"/>
    <x v="1"/>
    <n v="85"/>
    <n v="21"/>
  </r>
  <r>
    <x v="83"/>
    <x v="3"/>
    <x v="2"/>
    <x v="1"/>
    <x v="2"/>
    <n v="65"/>
    <n v="69"/>
  </r>
  <r>
    <x v="83"/>
    <x v="8"/>
    <x v="2"/>
    <x v="1"/>
    <x v="1"/>
    <n v="54"/>
    <n v="59"/>
  </r>
  <r>
    <x v="83"/>
    <x v="10"/>
    <x v="1"/>
    <x v="0"/>
    <x v="0"/>
    <n v="84"/>
    <n v="41"/>
  </r>
  <r>
    <x v="83"/>
    <x v="14"/>
    <x v="2"/>
    <x v="1"/>
    <x v="2"/>
    <n v="33"/>
    <n v="121"/>
  </r>
  <r>
    <x v="83"/>
    <x v="12"/>
    <x v="2"/>
    <x v="0"/>
    <x v="0"/>
    <n v="22"/>
    <n v="106"/>
  </r>
  <r>
    <x v="83"/>
    <x v="14"/>
    <x v="2"/>
    <x v="0"/>
    <x v="1"/>
    <n v="32"/>
    <n v="89"/>
  </r>
  <r>
    <x v="83"/>
    <x v="11"/>
    <x v="1"/>
    <x v="1"/>
    <x v="0"/>
    <n v="100"/>
    <n v="75"/>
  </r>
  <r>
    <x v="83"/>
    <x v="14"/>
    <x v="2"/>
    <x v="1"/>
    <x v="0"/>
    <n v="100"/>
    <n v="62"/>
  </r>
  <r>
    <x v="84"/>
    <x v="8"/>
    <x v="2"/>
    <x v="1"/>
    <x v="0"/>
    <n v="17"/>
    <n v="106"/>
  </r>
  <r>
    <x v="84"/>
    <x v="13"/>
    <x v="0"/>
    <x v="0"/>
    <x v="1"/>
    <n v="48"/>
    <n v="101"/>
  </r>
  <r>
    <x v="84"/>
    <x v="7"/>
    <x v="1"/>
    <x v="1"/>
    <x v="0"/>
    <n v="22"/>
    <n v="77"/>
  </r>
  <r>
    <x v="84"/>
    <x v="13"/>
    <x v="0"/>
    <x v="1"/>
    <x v="0"/>
    <n v="91"/>
    <n v="96"/>
  </r>
  <r>
    <x v="84"/>
    <x v="3"/>
    <x v="2"/>
    <x v="1"/>
    <x v="2"/>
    <n v="90"/>
    <n v="20"/>
  </r>
  <r>
    <x v="84"/>
    <x v="10"/>
    <x v="1"/>
    <x v="1"/>
    <x v="0"/>
    <n v="99"/>
    <n v="89"/>
  </r>
  <r>
    <x v="84"/>
    <x v="14"/>
    <x v="2"/>
    <x v="0"/>
    <x v="0"/>
    <n v="41"/>
    <n v="66"/>
  </r>
  <r>
    <x v="84"/>
    <x v="14"/>
    <x v="2"/>
    <x v="0"/>
    <x v="1"/>
    <n v="35"/>
    <n v="82"/>
  </r>
  <r>
    <x v="84"/>
    <x v="8"/>
    <x v="2"/>
    <x v="0"/>
    <x v="1"/>
    <n v="38"/>
    <n v="100"/>
  </r>
  <r>
    <x v="85"/>
    <x v="9"/>
    <x v="2"/>
    <x v="1"/>
    <x v="0"/>
    <n v="26"/>
    <n v="128"/>
  </r>
  <r>
    <x v="85"/>
    <x v="9"/>
    <x v="2"/>
    <x v="0"/>
    <x v="0"/>
    <n v="38"/>
    <n v="115"/>
  </r>
  <r>
    <x v="85"/>
    <x v="10"/>
    <x v="1"/>
    <x v="0"/>
    <x v="1"/>
    <n v="73"/>
    <n v="43"/>
  </r>
  <r>
    <x v="85"/>
    <x v="7"/>
    <x v="1"/>
    <x v="0"/>
    <x v="0"/>
    <n v="76"/>
    <n v="129"/>
  </r>
  <r>
    <x v="85"/>
    <x v="3"/>
    <x v="2"/>
    <x v="0"/>
    <x v="1"/>
    <n v="35"/>
    <n v="69"/>
  </r>
  <r>
    <x v="86"/>
    <x v="2"/>
    <x v="0"/>
    <x v="1"/>
    <x v="0"/>
    <n v="58"/>
    <n v="107"/>
  </r>
  <r>
    <x v="86"/>
    <x v="5"/>
    <x v="0"/>
    <x v="0"/>
    <x v="0"/>
    <n v="34"/>
    <n v="64"/>
  </r>
  <r>
    <x v="86"/>
    <x v="1"/>
    <x v="1"/>
    <x v="1"/>
    <x v="0"/>
    <n v="59"/>
    <n v="65"/>
  </r>
  <r>
    <x v="86"/>
    <x v="1"/>
    <x v="1"/>
    <x v="0"/>
    <x v="1"/>
    <n v="10"/>
    <n v="83"/>
  </r>
  <r>
    <x v="87"/>
    <x v="12"/>
    <x v="2"/>
    <x v="1"/>
    <x v="0"/>
    <n v="28"/>
    <n v="139"/>
  </r>
  <r>
    <x v="87"/>
    <x v="0"/>
    <x v="0"/>
    <x v="0"/>
    <x v="1"/>
    <n v="82"/>
    <n v="96"/>
  </r>
  <r>
    <x v="87"/>
    <x v="8"/>
    <x v="2"/>
    <x v="0"/>
    <x v="2"/>
    <n v="52"/>
    <n v="46"/>
  </r>
  <r>
    <x v="87"/>
    <x v="6"/>
    <x v="0"/>
    <x v="1"/>
    <x v="2"/>
    <n v="63"/>
    <n v="63"/>
  </r>
  <r>
    <x v="87"/>
    <x v="6"/>
    <x v="0"/>
    <x v="1"/>
    <x v="0"/>
    <n v="92"/>
    <n v="37"/>
  </r>
  <r>
    <x v="87"/>
    <x v="2"/>
    <x v="0"/>
    <x v="0"/>
    <x v="2"/>
    <n v="46"/>
    <n v="34"/>
  </r>
  <r>
    <x v="88"/>
    <x v="11"/>
    <x v="1"/>
    <x v="1"/>
    <x v="2"/>
    <n v="57"/>
    <n v="25"/>
  </r>
  <r>
    <x v="88"/>
    <x v="1"/>
    <x v="1"/>
    <x v="1"/>
    <x v="2"/>
    <n v="52"/>
    <n v="134"/>
  </r>
  <r>
    <x v="88"/>
    <x v="11"/>
    <x v="1"/>
    <x v="1"/>
    <x v="1"/>
    <n v="95"/>
    <n v="140"/>
  </r>
  <r>
    <x v="88"/>
    <x v="4"/>
    <x v="1"/>
    <x v="1"/>
    <x v="0"/>
    <n v="38"/>
    <n v="137"/>
  </r>
  <r>
    <x v="88"/>
    <x v="10"/>
    <x v="1"/>
    <x v="0"/>
    <x v="1"/>
    <n v="100"/>
    <n v="146"/>
  </r>
  <r>
    <x v="88"/>
    <x v="11"/>
    <x v="1"/>
    <x v="0"/>
    <x v="1"/>
    <n v="22"/>
    <n v="106"/>
  </r>
  <r>
    <x v="89"/>
    <x v="5"/>
    <x v="0"/>
    <x v="1"/>
    <x v="2"/>
    <n v="77"/>
    <n v="41"/>
  </r>
  <r>
    <x v="89"/>
    <x v="8"/>
    <x v="2"/>
    <x v="1"/>
    <x v="1"/>
    <n v="32"/>
    <n v="140"/>
  </r>
  <r>
    <x v="89"/>
    <x v="10"/>
    <x v="1"/>
    <x v="1"/>
    <x v="0"/>
    <n v="98"/>
    <n v="81"/>
  </r>
  <r>
    <x v="89"/>
    <x v="13"/>
    <x v="0"/>
    <x v="1"/>
    <x v="2"/>
    <n v="28"/>
    <n v="96"/>
  </r>
  <r>
    <x v="89"/>
    <x v="11"/>
    <x v="1"/>
    <x v="1"/>
    <x v="0"/>
    <n v="92"/>
    <n v="71"/>
  </r>
  <r>
    <x v="89"/>
    <x v="10"/>
    <x v="1"/>
    <x v="1"/>
    <x v="1"/>
    <n v="67"/>
    <n v="117"/>
  </r>
  <r>
    <x v="89"/>
    <x v="14"/>
    <x v="2"/>
    <x v="1"/>
    <x v="0"/>
    <n v="89"/>
    <n v="30"/>
  </r>
  <r>
    <x v="90"/>
    <x v="3"/>
    <x v="2"/>
    <x v="0"/>
    <x v="1"/>
    <n v="12"/>
    <n v="106"/>
  </r>
  <r>
    <x v="90"/>
    <x v="2"/>
    <x v="0"/>
    <x v="1"/>
    <x v="1"/>
    <n v="68"/>
    <n v="147"/>
  </r>
  <r>
    <x v="91"/>
    <x v="11"/>
    <x v="1"/>
    <x v="0"/>
    <x v="2"/>
    <n v="97"/>
    <n v="122"/>
  </r>
  <r>
    <x v="91"/>
    <x v="1"/>
    <x v="1"/>
    <x v="0"/>
    <x v="2"/>
    <n v="36"/>
    <n v="79"/>
  </r>
  <r>
    <x v="91"/>
    <x v="8"/>
    <x v="2"/>
    <x v="0"/>
    <x v="0"/>
    <n v="40"/>
    <n v="52"/>
  </r>
  <r>
    <x v="91"/>
    <x v="5"/>
    <x v="0"/>
    <x v="1"/>
    <x v="0"/>
    <n v="34"/>
    <n v="124"/>
  </r>
  <r>
    <x v="92"/>
    <x v="1"/>
    <x v="1"/>
    <x v="1"/>
    <x v="2"/>
    <n v="11"/>
    <n v="107"/>
  </r>
  <r>
    <x v="92"/>
    <x v="2"/>
    <x v="0"/>
    <x v="0"/>
    <x v="0"/>
    <n v="34"/>
    <n v="34"/>
  </r>
  <r>
    <x v="92"/>
    <x v="8"/>
    <x v="2"/>
    <x v="0"/>
    <x v="1"/>
    <n v="56"/>
    <n v="49"/>
  </r>
  <r>
    <x v="92"/>
    <x v="13"/>
    <x v="0"/>
    <x v="0"/>
    <x v="2"/>
    <n v="11"/>
    <n v="114"/>
  </r>
  <r>
    <x v="92"/>
    <x v="6"/>
    <x v="0"/>
    <x v="0"/>
    <x v="2"/>
    <n v="71"/>
    <n v="39"/>
  </r>
  <r>
    <x v="93"/>
    <x v="14"/>
    <x v="2"/>
    <x v="1"/>
    <x v="2"/>
    <n v="80"/>
    <n v="33"/>
  </r>
  <r>
    <x v="93"/>
    <x v="11"/>
    <x v="1"/>
    <x v="1"/>
    <x v="0"/>
    <n v="53"/>
    <n v="116"/>
  </r>
  <r>
    <x v="93"/>
    <x v="13"/>
    <x v="0"/>
    <x v="0"/>
    <x v="0"/>
    <n v="48"/>
    <n v="147"/>
  </r>
  <r>
    <x v="93"/>
    <x v="8"/>
    <x v="2"/>
    <x v="1"/>
    <x v="0"/>
    <n v="80"/>
    <n v="89"/>
  </r>
  <r>
    <x v="93"/>
    <x v="2"/>
    <x v="0"/>
    <x v="0"/>
    <x v="2"/>
    <n v="51"/>
    <n v="33"/>
  </r>
  <r>
    <x v="93"/>
    <x v="12"/>
    <x v="2"/>
    <x v="0"/>
    <x v="1"/>
    <n v="50"/>
    <n v="95"/>
  </r>
  <r>
    <x v="93"/>
    <x v="13"/>
    <x v="0"/>
    <x v="0"/>
    <x v="0"/>
    <n v="36"/>
    <n v="39"/>
  </r>
  <r>
    <x v="93"/>
    <x v="3"/>
    <x v="2"/>
    <x v="1"/>
    <x v="1"/>
    <n v="38"/>
    <n v="113"/>
  </r>
  <r>
    <x v="93"/>
    <x v="11"/>
    <x v="1"/>
    <x v="1"/>
    <x v="2"/>
    <n v="50"/>
    <n v="138"/>
  </r>
  <r>
    <x v="93"/>
    <x v="2"/>
    <x v="0"/>
    <x v="1"/>
    <x v="2"/>
    <n v="39"/>
    <n v="32"/>
  </r>
  <r>
    <x v="93"/>
    <x v="3"/>
    <x v="2"/>
    <x v="0"/>
    <x v="0"/>
    <n v="69"/>
    <n v="28"/>
  </r>
  <r>
    <x v="93"/>
    <x v="11"/>
    <x v="1"/>
    <x v="1"/>
    <x v="1"/>
    <n v="68"/>
    <n v="86"/>
  </r>
  <r>
    <x v="93"/>
    <x v="6"/>
    <x v="0"/>
    <x v="1"/>
    <x v="2"/>
    <n v="22"/>
    <n v="31"/>
  </r>
  <r>
    <x v="93"/>
    <x v="9"/>
    <x v="2"/>
    <x v="0"/>
    <x v="0"/>
    <n v="91"/>
    <n v="32"/>
  </r>
  <r>
    <x v="93"/>
    <x v="13"/>
    <x v="0"/>
    <x v="0"/>
    <x v="1"/>
    <n v="37"/>
    <n v="53"/>
  </r>
  <r>
    <x v="93"/>
    <x v="11"/>
    <x v="1"/>
    <x v="1"/>
    <x v="0"/>
    <n v="59"/>
    <n v="67"/>
  </r>
  <r>
    <x v="94"/>
    <x v="7"/>
    <x v="1"/>
    <x v="0"/>
    <x v="0"/>
    <n v="56"/>
    <n v="90"/>
  </r>
  <r>
    <x v="94"/>
    <x v="6"/>
    <x v="0"/>
    <x v="0"/>
    <x v="2"/>
    <n v="47"/>
    <n v="95"/>
  </r>
  <r>
    <x v="94"/>
    <x v="9"/>
    <x v="2"/>
    <x v="1"/>
    <x v="1"/>
    <n v="56"/>
    <n v="24"/>
  </r>
  <r>
    <x v="94"/>
    <x v="4"/>
    <x v="1"/>
    <x v="1"/>
    <x v="0"/>
    <n v="53"/>
    <n v="103"/>
  </r>
  <r>
    <x v="94"/>
    <x v="4"/>
    <x v="1"/>
    <x v="1"/>
    <x v="2"/>
    <n v="30"/>
    <n v="130"/>
  </r>
  <r>
    <x v="94"/>
    <x v="0"/>
    <x v="0"/>
    <x v="1"/>
    <x v="2"/>
    <n v="49"/>
    <n v="38"/>
  </r>
  <r>
    <x v="95"/>
    <x v="1"/>
    <x v="1"/>
    <x v="0"/>
    <x v="2"/>
    <n v="65"/>
    <n v="29"/>
  </r>
  <r>
    <x v="95"/>
    <x v="5"/>
    <x v="0"/>
    <x v="0"/>
    <x v="1"/>
    <n v="10"/>
    <n v="129"/>
  </r>
  <r>
    <x v="95"/>
    <x v="6"/>
    <x v="0"/>
    <x v="0"/>
    <x v="2"/>
    <n v="72"/>
    <n v="92"/>
  </r>
  <r>
    <x v="95"/>
    <x v="12"/>
    <x v="2"/>
    <x v="0"/>
    <x v="1"/>
    <n v="48"/>
    <n v="47"/>
  </r>
  <r>
    <x v="95"/>
    <x v="6"/>
    <x v="0"/>
    <x v="1"/>
    <x v="1"/>
    <n v="26"/>
    <n v="54"/>
  </r>
  <r>
    <x v="95"/>
    <x v="1"/>
    <x v="1"/>
    <x v="1"/>
    <x v="0"/>
    <n v="69"/>
    <n v="62"/>
  </r>
  <r>
    <x v="95"/>
    <x v="3"/>
    <x v="2"/>
    <x v="1"/>
    <x v="1"/>
    <n v="65"/>
    <n v="26"/>
  </r>
  <r>
    <x v="96"/>
    <x v="12"/>
    <x v="2"/>
    <x v="0"/>
    <x v="1"/>
    <n v="49"/>
    <n v="34"/>
  </r>
  <r>
    <x v="96"/>
    <x v="8"/>
    <x v="2"/>
    <x v="0"/>
    <x v="1"/>
    <n v="48"/>
    <n v="83"/>
  </r>
  <r>
    <x v="96"/>
    <x v="3"/>
    <x v="2"/>
    <x v="1"/>
    <x v="1"/>
    <n v="93"/>
    <n v="122"/>
  </r>
  <r>
    <x v="96"/>
    <x v="12"/>
    <x v="2"/>
    <x v="1"/>
    <x v="1"/>
    <n v="28"/>
    <n v="83"/>
  </r>
  <r>
    <x v="96"/>
    <x v="13"/>
    <x v="0"/>
    <x v="0"/>
    <x v="2"/>
    <n v="37"/>
    <n v="50"/>
  </r>
  <r>
    <x v="97"/>
    <x v="3"/>
    <x v="2"/>
    <x v="1"/>
    <x v="1"/>
    <n v="15"/>
    <n v="75"/>
  </r>
  <r>
    <x v="97"/>
    <x v="3"/>
    <x v="2"/>
    <x v="1"/>
    <x v="0"/>
    <n v="97"/>
    <n v="28"/>
  </r>
  <r>
    <x v="97"/>
    <x v="4"/>
    <x v="1"/>
    <x v="0"/>
    <x v="2"/>
    <n v="13"/>
    <n v="38"/>
  </r>
  <r>
    <x v="97"/>
    <x v="10"/>
    <x v="1"/>
    <x v="1"/>
    <x v="2"/>
    <n v="79"/>
    <n v="127"/>
  </r>
  <r>
    <x v="97"/>
    <x v="3"/>
    <x v="2"/>
    <x v="1"/>
    <x v="0"/>
    <n v="97"/>
    <n v="99"/>
  </r>
  <r>
    <x v="97"/>
    <x v="7"/>
    <x v="1"/>
    <x v="1"/>
    <x v="0"/>
    <n v="36"/>
    <n v="97"/>
  </r>
  <r>
    <x v="97"/>
    <x v="12"/>
    <x v="2"/>
    <x v="1"/>
    <x v="0"/>
    <n v="96"/>
    <n v="57"/>
  </r>
  <r>
    <x v="97"/>
    <x v="3"/>
    <x v="2"/>
    <x v="1"/>
    <x v="1"/>
    <n v="44"/>
    <n v="23"/>
  </r>
  <r>
    <x v="98"/>
    <x v="9"/>
    <x v="2"/>
    <x v="0"/>
    <x v="0"/>
    <n v="33"/>
    <n v="96"/>
  </r>
  <r>
    <x v="98"/>
    <x v="13"/>
    <x v="0"/>
    <x v="1"/>
    <x v="2"/>
    <n v="22"/>
    <n v="99"/>
  </r>
  <r>
    <x v="98"/>
    <x v="14"/>
    <x v="2"/>
    <x v="1"/>
    <x v="0"/>
    <n v="60"/>
    <n v="30"/>
  </r>
  <r>
    <x v="98"/>
    <x v="13"/>
    <x v="0"/>
    <x v="1"/>
    <x v="2"/>
    <n v="61"/>
    <n v="143"/>
  </r>
  <r>
    <x v="98"/>
    <x v="3"/>
    <x v="2"/>
    <x v="1"/>
    <x v="2"/>
    <n v="36"/>
    <n v="122"/>
  </r>
  <r>
    <x v="98"/>
    <x v="12"/>
    <x v="2"/>
    <x v="1"/>
    <x v="2"/>
    <n v="50"/>
    <n v="136"/>
  </r>
  <r>
    <x v="98"/>
    <x v="4"/>
    <x v="1"/>
    <x v="1"/>
    <x v="2"/>
    <n v="87"/>
    <n v="45"/>
  </r>
  <r>
    <x v="99"/>
    <x v="8"/>
    <x v="2"/>
    <x v="1"/>
    <x v="1"/>
    <n v="34"/>
    <n v="146"/>
  </r>
  <r>
    <x v="99"/>
    <x v="0"/>
    <x v="0"/>
    <x v="1"/>
    <x v="1"/>
    <n v="79"/>
    <n v="21"/>
  </r>
  <r>
    <x v="99"/>
    <x v="6"/>
    <x v="0"/>
    <x v="1"/>
    <x v="2"/>
    <n v="10"/>
    <n v="37"/>
  </r>
  <r>
    <x v="100"/>
    <x v="0"/>
    <x v="0"/>
    <x v="1"/>
    <x v="2"/>
    <n v="64"/>
    <n v="39"/>
  </r>
  <r>
    <x v="100"/>
    <x v="7"/>
    <x v="1"/>
    <x v="0"/>
    <x v="1"/>
    <n v="67"/>
    <n v="141"/>
  </r>
  <r>
    <x v="100"/>
    <x v="1"/>
    <x v="1"/>
    <x v="1"/>
    <x v="0"/>
    <n v="76"/>
    <n v="64"/>
  </r>
  <r>
    <x v="100"/>
    <x v="12"/>
    <x v="2"/>
    <x v="0"/>
    <x v="1"/>
    <n v="59"/>
    <n v="43"/>
  </r>
  <r>
    <x v="100"/>
    <x v="9"/>
    <x v="2"/>
    <x v="0"/>
    <x v="2"/>
    <n v="21"/>
    <n v="59"/>
  </r>
  <r>
    <x v="100"/>
    <x v="13"/>
    <x v="0"/>
    <x v="1"/>
    <x v="0"/>
    <n v="95"/>
    <n v="70"/>
  </r>
  <r>
    <x v="100"/>
    <x v="9"/>
    <x v="2"/>
    <x v="1"/>
    <x v="2"/>
    <n v="39"/>
    <n v="142"/>
  </r>
  <r>
    <x v="100"/>
    <x v="1"/>
    <x v="1"/>
    <x v="0"/>
    <x v="0"/>
    <n v="30"/>
    <n v="116"/>
  </r>
  <r>
    <x v="101"/>
    <x v="11"/>
    <x v="1"/>
    <x v="1"/>
    <x v="1"/>
    <n v="54"/>
    <n v="25"/>
  </r>
  <r>
    <x v="101"/>
    <x v="7"/>
    <x v="1"/>
    <x v="1"/>
    <x v="2"/>
    <n v="73"/>
    <n v="43"/>
  </r>
  <r>
    <x v="101"/>
    <x v="9"/>
    <x v="2"/>
    <x v="1"/>
    <x v="0"/>
    <n v="39"/>
    <n v="100"/>
  </r>
  <r>
    <x v="101"/>
    <x v="9"/>
    <x v="2"/>
    <x v="1"/>
    <x v="0"/>
    <n v="22"/>
    <n v="91"/>
  </r>
  <r>
    <x v="102"/>
    <x v="4"/>
    <x v="1"/>
    <x v="1"/>
    <x v="2"/>
    <n v="72"/>
    <n v="82"/>
  </r>
  <r>
    <x v="102"/>
    <x v="8"/>
    <x v="2"/>
    <x v="0"/>
    <x v="1"/>
    <n v="15"/>
    <n v="64"/>
  </r>
  <r>
    <x v="102"/>
    <x v="9"/>
    <x v="2"/>
    <x v="0"/>
    <x v="1"/>
    <n v="96"/>
    <n v="144"/>
  </r>
  <r>
    <x v="102"/>
    <x v="6"/>
    <x v="0"/>
    <x v="0"/>
    <x v="1"/>
    <n v="47"/>
    <n v="92"/>
  </r>
  <r>
    <x v="102"/>
    <x v="10"/>
    <x v="1"/>
    <x v="0"/>
    <x v="1"/>
    <n v="30"/>
    <n v="27"/>
  </r>
  <r>
    <x v="102"/>
    <x v="9"/>
    <x v="2"/>
    <x v="1"/>
    <x v="2"/>
    <n v="24"/>
    <n v="73"/>
  </r>
  <r>
    <x v="102"/>
    <x v="2"/>
    <x v="0"/>
    <x v="0"/>
    <x v="1"/>
    <n v="76"/>
    <n v="42"/>
  </r>
  <r>
    <x v="102"/>
    <x v="10"/>
    <x v="1"/>
    <x v="1"/>
    <x v="2"/>
    <n v="76"/>
    <n v="49"/>
  </r>
  <r>
    <x v="103"/>
    <x v="9"/>
    <x v="2"/>
    <x v="1"/>
    <x v="0"/>
    <n v="78"/>
    <n v="25"/>
  </r>
  <r>
    <x v="103"/>
    <x v="3"/>
    <x v="2"/>
    <x v="0"/>
    <x v="0"/>
    <n v="98"/>
    <n v="73"/>
  </r>
  <r>
    <x v="103"/>
    <x v="10"/>
    <x v="1"/>
    <x v="1"/>
    <x v="0"/>
    <n v="58"/>
    <n v="74"/>
  </r>
  <r>
    <x v="103"/>
    <x v="2"/>
    <x v="0"/>
    <x v="1"/>
    <x v="0"/>
    <n v="14"/>
    <n v="94"/>
  </r>
  <r>
    <x v="103"/>
    <x v="0"/>
    <x v="0"/>
    <x v="0"/>
    <x v="1"/>
    <n v="20"/>
    <n v="49"/>
  </r>
  <r>
    <x v="103"/>
    <x v="10"/>
    <x v="1"/>
    <x v="0"/>
    <x v="2"/>
    <n v="38"/>
    <n v="33"/>
  </r>
  <r>
    <x v="103"/>
    <x v="13"/>
    <x v="0"/>
    <x v="0"/>
    <x v="1"/>
    <n v="84"/>
    <n v="37"/>
  </r>
  <r>
    <x v="103"/>
    <x v="6"/>
    <x v="0"/>
    <x v="1"/>
    <x v="2"/>
    <n v="69"/>
    <n v="140"/>
  </r>
  <r>
    <x v="103"/>
    <x v="12"/>
    <x v="2"/>
    <x v="1"/>
    <x v="2"/>
    <n v="71"/>
    <n v="57"/>
  </r>
  <r>
    <x v="103"/>
    <x v="3"/>
    <x v="2"/>
    <x v="0"/>
    <x v="1"/>
    <n v="82"/>
    <n v="62"/>
  </r>
  <r>
    <x v="103"/>
    <x v="7"/>
    <x v="1"/>
    <x v="1"/>
    <x v="0"/>
    <n v="26"/>
    <n v="57"/>
  </r>
  <r>
    <x v="104"/>
    <x v="10"/>
    <x v="1"/>
    <x v="0"/>
    <x v="0"/>
    <n v="93"/>
    <n v="139"/>
  </r>
  <r>
    <x v="104"/>
    <x v="12"/>
    <x v="2"/>
    <x v="1"/>
    <x v="2"/>
    <n v="40"/>
    <n v="112"/>
  </r>
  <r>
    <x v="104"/>
    <x v="9"/>
    <x v="2"/>
    <x v="0"/>
    <x v="1"/>
    <n v="10"/>
    <n v="91"/>
  </r>
  <r>
    <x v="104"/>
    <x v="9"/>
    <x v="2"/>
    <x v="0"/>
    <x v="0"/>
    <n v="47"/>
    <n v="48"/>
  </r>
  <r>
    <x v="104"/>
    <x v="7"/>
    <x v="1"/>
    <x v="1"/>
    <x v="1"/>
    <n v="30"/>
    <n v="66"/>
  </r>
  <r>
    <x v="104"/>
    <x v="6"/>
    <x v="0"/>
    <x v="1"/>
    <x v="0"/>
    <n v="81"/>
    <n v="27"/>
  </r>
  <r>
    <x v="105"/>
    <x v="12"/>
    <x v="2"/>
    <x v="1"/>
    <x v="0"/>
    <n v="89"/>
    <n v="31"/>
  </r>
  <r>
    <x v="105"/>
    <x v="6"/>
    <x v="0"/>
    <x v="1"/>
    <x v="1"/>
    <n v="51"/>
    <n v="55"/>
  </r>
  <r>
    <x v="105"/>
    <x v="7"/>
    <x v="1"/>
    <x v="1"/>
    <x v="0"/>
    <n v="20"/>
    <n v="116"/>
  </r>
  <r>
    <x v="105"/>
    <x v="0"/>
    <x v="0"/>
    <x v="1"/>
    <x v="2"/>
    <n v="42"/>
    <n v="101"/>
  </r>
  <r>
    <x v="106"/>
    <x v="2"/>
    <x v="0"/>
    <x v="1"/>
    <x v="0"/>
    <n v="69"/>
    <n v="134"/>
  </r>
  <r>
    <x v="106"/>
    <x v="8"/>
    <x v="2"/>
    <x v="0"/>
    <x v="2"/>
    <n v="66"/>
    <n v="32"/>
  </r>
  <r>
    <x v="106"/>
    <x v="9"/>
    <x v="2"/>
    <x v="1"/>
    <x v="0"/>
    <n v="13"/>
    <n v="51"/>
  </r>
  <r>
    <x v="106"/>
    <x v="10"/>
    <x v="1"/>
    <x v="0"/>
    <x v="0"/>
    <n v="70"/>
    <n v="134"/>
  </r>
  <r>
    <x v="106"/>
    <x v="8"/>
    <x v="2"/>
    <x v="0"/>
    <x v="2"/>
    <n v="32"/>
    <n v="35"/>
  </r>
  <r>
    <x v="106"/>
    <x v="10"/>
    <x v="1"/>
    <x v="1"/>
    <x v="1"/>
    <n v="34"/>
    <n v="93"/>
  </r>
  <r>
    <x v="106"/>
    <x v="7"/>
    <x v="1"/>
    <x v="1"/>
    <x v="1"/>
    <n v="42"/>
    <n v="149"/>
  </r>
  <r>
    <x v="106"/>
    <x v="3"/>
    <x v="2"/>
    <x v="0"/>
    <x v="2"/>
    <n v="70"/>
    <n v="27"/>
  </r>
  <r>
    <x v="106"/>
    <x v="2"/>
    <x v="0"/>
    <x v="0"/>
    <x v="2"/>
    <n v="13"/>
    <n v="102"/>
  </r>
  <r>
    <x v="107"/>
    <x v="14"/>
    <x v="2"/>
    <x v="0"/>
    <x v="0"/>
    <n v="95"/>
    <n v="33"/>
  </r>
  <r>
    <x v="107"/>
    <x v="4"/>
    <x v="1"/>
    <x v="0"/>
    <x v="1"/>
    <n v="39"/>
    <n v="120"/>
  </r>
  <r>
    <x v="107"/>
    <x v="11"/>
    <x v="1"/>
    <x v="1"/>
    <x v="1"/>
    <n v="50"/>
    <n v="31"/>
  </r>
  <r>
    <x v="107"/>
    <x v="0"/>
    <x v="0"/>
    <x v="0"/>
    <x v="0"/>
    <n v="76"/>
    <n v="90"/>
  </r>
  <r>
    <x v="107"/>
    <x v="4"/>
    <x v="1"/>
    <x v="0"/>
    <x v="1"/>
    <n v="71"/>
    <n v="111"/>
  </r>
  <r>
    <x v="107"/>
    <x v="6"/>
    <x v="0"/>
    <x v="0"/>
    <x v="0"/>
    <n v="76"/>
    <n v="78"/>
  </r>
  <r>
    <x v="107"/>
    <x v="9"/>
    <x v="2"/>
    <x v="1"/>
    <x v="0"/>
    <n v="68"/>
    <n v="148"/>
  </r>
  <r>
    <x v="107"/>
    <x v="3"/>
    <x v="2"/>
    <x v="0"/>
    <x v="0"/>
    <n v="31"/>
    <n v="45"/>
  </r>
  <r>
    <x v="107"/>
    <x v="4"/>
    <x v="1"/>
    <x v="0"/>
    <x v="2"/>
    <n v="34"/>
    <n v="94"/>
  </r>
  <r>
    <x v="107"/>
    <x v="7"/>
    <x v="1"/>
    <x v="0"/>
    <x v="0"/>
    <n v="42"/>
    <n v="129"/>
  </r>
  <r>
    <x v="107"/>
    <x v="9"/>
    <x v="2"/>
    <x v="0"/>
    <x v="1"/>
    <n v="86"/>
    <n v="122"/>
  </r>
  <r>
    <x v="107"/>
    <x v="5"/>
    <x v="0"/>
    <x v="1"/>
    <x v="2"/>
    <n v="19"/>
    <n v="51"/>
  </r>
  <r>
    <x v="107"/>
    <x v="9"/>
    <x v="2"/>
    <x v="0"/>
    <x v="0"/>
    <n v="99"/>
    <n v="36"/>
  </r>
  <r>
    <x v="107"/>
    <x v="0"/>
    <x v="0"/>
    <x v="0"/>
    <x v="1"/>
    <n v="47"/>
    <n v="32"/>
  </r>
  <r>
    <x v="107"/>
    <x v="0"/>
    <x v="0"/>
    <x v="0"/>
    <x v="0"/>
    <n v="64"/>
    <n v="105"/>
  </r>
  <r>
    <x v="108"/>
    <x v="11"/>
    <x v="1"/>
    <x v="0"/>
    <x v="1"/>
    <n v="73"/>
    <n v="121"/>
  </r>
  <r>
    <x v="108"/>
    <x v="2"/>
    <x v="0"/>
    <x v="0"/>
    <x v="1"/>
    <n v="38"/>
    <n v="96"/>
  </r>
  <r>
    <x v="108"/>
    <x v="6"/>
    <x v="0"/>
    <x v="1"/>
    <x v="2"/>
    <n v="63"/>
    <n v="22"/>
  </r>
  <r>
    <x v="108"/>
    <x v="11"/>
    <x v="1"/>
    <x v="1"/>
    <x v="2"/>
    <n v="97"/>
    <n v="80"/>
  </r>
  <r>
    <x v="108"/>
    <x v="8"/>
    <x v="2"/>
    <x v="1"/>
    <x v="0"/>
    <n v="14"/>
    <n v="143"/>
  </r>
  <r>
    <x v="108"/>
    <x v="3"/>
    <x v="2"/>
    <x v="0"/>
    <x v="0"/>
    <n v="46"/>
    <n v="30"/>
  </r>
  <r>
    <x v="108"/>
    <x v="3"/>
    <x v="2"/>
    <x v="1"/>
    <x v="1"/>
    <n v="42"/>
    <n v="88"/>
  </r>
  <r>
    <x v="108"/>
    <x v="2"/>
    <x v="0"/>
    <x v="0"/>
    <x v="2"/>
    <n v="30"/>
    <n v="126"/>
  </r>
  <r>
    <x v="108"/>
    <x v="0"/>
    <x v="0"/>
    <x v="1"/>
    <x v="1"/>
    <n v="12"/>
    <n v="84"/>
  </r>
  <r>
    <x v="109"/>
    <x v="3"/>
    <x v="2"/>
    <x v="0"/>
    <x v="1"/>
    <n v="18"/>
    <n v="100"/>
  </r>
  <r>
    <x v="109"/>
    <x v="2"/>
    <x v="0"/>
    <x v="0"/>
    <x v="2"/>
    <n v="49"/>
    <n v="104"/>
  </r>
  <r>
    <x v="109"/>
    <x v="9"/>
    <x v="2"/>
    <x v="0"/>
    <x v="0"/>
    <n v="83"/>
    <n v="66"/>
  </r>
  <r>
    <x v="109"/>
    <x v="9"/>
    <x v="2"/>
    <x v="1"/>
    <x v="1"/>
    <n v="73"/>
    <n v="62"/>
  </r>
  <r>
    <x v="109"/>
    <x v="0"/>
    <x v="0"/>
    <x v="1"/>
    <x v="0"/>
    <n v="27"/>
    <n v="109"/>
  </r>
  <r>
    <x v="110"/>
    <x v="1"/>
    <x v="1"/>
    <x v="1"/>
    <x v="2"/>
    <n v="31"/>
    <n v="145"/>
  </r>
  <r>
    <x v="110"/>
    <x v="1"/>
    <x v="1"/>
    <x v="1"/>
    <x v="1"/>
    <n v="40"/>
    <n v="148"/>
  </r>
  <r>
    <x v="110"/>
    <x v="2"/>
    <x v="0"/>
    <x v="0"/>
    <x v="2"/>
    <n v="68"/>
    <n v="148"/>
  </r>
  <r>
    <x v="110"/>
    <x v="8"/>
    <x v="2"/>
    <x v="1"/>
    <x v="1"/>
    <n v="17"/>
    <n v="137"/>
  </r>
  <r>
    <x v="110"/>
    <x v="3"/>
    <x v="2"/>
    <x v="1"/>
    <x v="2"/>
    <n v="66"/>
    <n v="137"/>
  </r>
  <r>
    <x v="110"/>
    <x v="8"/>
    <x v="2"/>
    <x v="1"/>
    <x v="2"/>
    <n v="77"/>
    <n v="129"/>
  </r>
  <r>
    <x v="110"/>
    <x v="9"/>
    <x v="2"/>
    <x v="1"/>
    <x v="1"/>
    <n v="29"/>
    <n v="92"/>
  </r>
  <r>
    <x v="110"/>
    <x v="0"/>
    <x v="0"/>
    <x v="1"/>
    <x v="0"/>
    <n v="17"/>
    <n v="87"/>
  </r>
  <r>
    <x v="111"/>
    <x v="5"/>
    <x v="0"/>
    <x v="1"/>
    <x v="1"/>
    <n v="99"/>
    <n v="27"/>
  </r>
  <r>
    <x v="111"/>
    <x v="12"/>
    <x v="2"/>
    <x v="1"/>
    <x v="2"/>
    <n v="32"/>
    <n v="92"/>
  </r>
  <r>
    <x v="111"/>
    <x v="9"/>
    <x v="2"/>
    <x v="1"/>
    <x v="0"/>
    <n v="42"/>
    <n v="105"/>
  </r>
  <r>
    <x v="111"/>
    <x v="6"/>
    <x v="0"/>
    <x v="0"/>
    <x v="2"/>
    <n v="10"/>
    <n v="22"/>
  </r>
  <r>
    <x v="111"/>
    <x v="2"/>
    <x v="0"/>
    <x v="1"/>
    <x v="1"/>
    <n v="76"/>
    <n v="54"/>
  </r>
  <r>
    <x v="111"/>
    <x v="13"/>
    <x v="0"/>
    <x v="1"/>
    <x v="2"/>
    <n v="28"/>
    <n v="22"/>
  </r>
  <r>
    <x v="111"/>
    <x v="6"/>
    <x v="0"/>
    <x v="0"/>
    <x v="0"/>
    <n v="55"/>
    <n v="68"/>
  </r>
  <r>
    <x v="112"/>
    <x v="3"/>
    <x v="2"/>
    <x v="1"/>
    <x v="1"/>
    <n v="70"/>
    <n v="76"/>
  </r>
  <r>
    <x v="112"/>
    <x v="5"/>
    <x v="0"/>
    <x v="1"/>
    <x v="1"/>
    <n v="94"/>
    <n v="23"/>
  </r>
  <r>
    <x v="112"/>
    <x v="3"/>
    <x v="2"/>
    <x v="0"/>
    <x v="1"/>
    <n v="72"/>
    <n v="95"/>
  </r>
  <r>
    <x v="112"/>
    <x v="7"/>
    <x v="1"/>
    <x v="1"/>
    <x v="0"/>
    <n v="87"/>
    <n v="60"/>
  </r>
  <r>
    <x v="112"/>
    <x v="9"/>
    <x v="2"/>
    <x v="0"/>
    <x v="2"/>
    <n v="27"/>
    <n v="31"/>
  </r>
  <r>
    <x v="112"/>
    <x v="4"/>
    <x v="1"/>
    <x v="0"/>
    <x v="1"/>
    <n v="33"/>
    <n v="71"/>
  </r>
  <r>
    <x v="112"/>
    <x v="12"/>
    <x v="2"/>
    <x v="0"/>
    <x v="0"/>
    <n v="66"/>
    <n v="138"/>
  </r>
  <r>
    <x v="112"/>
    <x v="6"/>
    <x v="0"/>
    <x v="1"/>
    <x v="1"/>
    <n v="70"/>
    <n v="50"/>
  </r>
  <r>
    <x v="112"/>
    <x v="5"/>
    <x v="0"/>
    <x v="1"/>
    <x v="0"/>
    <n v="100"/>
    <n v="149"/>
  </r>
  <r>
    <x v="113"/>
    <x v="7"/>
    <x v="1"/>
    <x v="0"/>
    <x v="1"/>
    <n v="16"/>
    <n v="107"/>
  </r>
  <r>
    <x v="113"/>
    <x v="12"/>
    <x v="2"/>
    <x v="0"/>
    <x v="2"/>
    <n v="74"/>
    <n v="128"/>
  </r>
  <r>
    <x v="113"/>
    <x v="1"/>
    <x v="1"/>
    <x v="1"/>
    <x v="0"/>
    <n v="99"/>
    <n v="135"/>
  </r>
  <r>
    <x v="113"/>
    <x v="5"/>
    <x v="0"/>
    <x v="1"/>
    <x v="0"/>
    <n v="83"/>
    <n v="44"/>
  </r>
  <r>
    <x v="114"/>
    <x v="9"/>
    <x v="2"/>
    <x v="1"/>
    <x v="2"/>
    <n v="84"/>
    <n v="122"/>
  </r>
  <r>
    <x v="114"/>
    <x v="6"/>
    <x v="0"/>
    <x v="0"/>
    <x v="2"/>
    <n v="63"/>
    <n v="119"/>
  </r>
  <r>
    <x v="114"/>
    <x v="9"/>
    <x v="2"/>
    <x v="0"/>
    <x v="1"/>
    <n v="77"/>
    <n v="149"/>
  </r>
  <r>
    <x v="114"/>
    <x v="3"/>
    <x v="2"/>
    <x v="1"/>
    <x v="2"/>
    <n v="86"/>
    <n v="63"/>
  </r>
  <r>
    <x v="114"/>
    <x v="0"/>
    <x v="0"/>
    <x v="1"/>
    <x v="2"/>
    <n v="31"/>
    <n v="114"/>
  </r>
  <r>
    <x v="114"/>
    <x v="11"/>
    <x v="1"/>
    <x v="0"/>
    <x v="2"/>
    <n v="94"/>
    <n v="30"/>
  </r>
  <r>
    <x v="115"/>
    <x v="9"/>
    <x v="2"/>
    <x v="0"/>
    <x v="2"/>
    <n v="59"/>
    <n v="120"/>
  </r>
  <r>
    <x v="115"/>
    <x v="12"/>
    <x v="2"/>
    <x v="0"/>
    <x v="1"/>
    <n v="96"/>
    <n v="142"/>
  </r>
  <r>
    <x v="115"/>
    <x v="12"/>
    <x v="2"/>
    <x v="1"/>
    <x v="0"/>
    <n v="67"/>
    <n v="89"/>
  </r>
  <r>
    <x v="115"/>
    <x v="13"/>
    <x v="0"/>
    <x v="0"/>
    <x v="0"/>
    <n v="75"/>
    <n v="102"/>
  </r>
  <r>
    <x v="115"/>
    <x v="13"/>
    <x v="0"/>
    <x v="1"/>
    <x v="1"/>
    <n v="49"/>
    <n v="98"/>
  </r>
  <r>
    <x v="116"/>
    <x v="10"/>
    <x v="1"/>
    <x v="1"/>
    <x v="1"/>
    <n v="51"/>
    <n v="87"/>
  </r>
  <r>
    <x v="116"/>
    <x v="6"/>
    <x v="0"/>
    <x v="0"/>
    <x v="1"/>
    <n v="36"/>
    <n v="123"/>
  </r>
  <r>
    <x v="116"/>
    <x v="6"/>
    <x v="0"/>
    <x v="0"/>
    <x v="1"/>
    <n v="18"/>
    <n v="103"/>
  </r>
  <r>
    <x v="116"/>
    <x v="12"/>
    <x v="2"/>
    <x v="1"/>
    <x v="1"/>
    <n v="27"/>
    <n v="78"/>
  </r>
  <r>
    <x v="117"/>
    <x v="13"/>
    <x v="0"/>
    <x v="0"/>
    <x v="0"/>
    <n v="82"/>
    <n v="49"/>
  </r>
  <r>
    <x v="117"/>
    <x v="13"/>
    <x v="0"/>
    <x v="0"/>
    <x v="0"/>
    <n v="53"/>
    <n v="130"/>
  </r>
  <r>
    <x v="117"/>
    <x v="10"/>
    <x v="1"/>
    <x v="0"/>
    <x v="1"/>
    <n v="77"/>
    <n v="143"/>
  </r>
  <r>
    <x v="117"/>
    <x v="4"/>
    <x v="1"/>
    <x v="0"/>
    <x v="2"/>
    <n v="41"/>
    <n v="144"/>
  </r>
  <r>
    <x v="117"/>
    <x v="7"/>
    <x v="1"/>
    <x v="0"/>
    <x v="0"/>
    <n v="46"/>
    <n v="73"/>
  </r>
  <r>
    <x v="117"/>
    <x v="6"/>
    <x v="0"/>
    <x v="1"/>
    <x v="0"/>
    <n v="75"/>
    <n v="99"/>
  </r>
  <r>
    <x v="117"/>
    <x v="5"/>
    <x v="0"/>
    <x v="1"/>
    <x v="0"/>
    <n v="94"/>
    <n v="56"/>
  </r>
  <r>
    <x v="117"/>
    <x v="7"/>
    <x v="1"/>
    <x v="1"/>
    <x v="2"/>
    <n v="98"/>
    <n v="84"/>
  </r>
  <r>
    <x v="118"/>
    <x v="3"/>
    <x v="2"/>
    <x v="1"/>
    <x v="0"/>
    <n v="58"/>
    <n v="69"/>
  </r>
  <r>
    <x v="118"/>
    <x v="7"/>
    <x v="1"/>
    <x v="1"/>
    <x v="2"/>
    <n v="39"/>
    <n v="46"/>
  </r>
  <r>
    <x v="118"/>
    <x v="7"/>
    <x v="1"/>
    <x v="1"/>
    <x v="1"/>
    <n v="99"/>
    <n v="41"/>
  </r>
  <r>
    <x v="118"/>
    <x v="0"/>
    <x v="0"/>
    <x v="0"/>
    <x v="1"/>
    <n v="94"/>
    <n v="145"/>
  </r>
  <r>
    <x v="118"/>
    <x v="0"/>
    <x v="0"/>
    <x v="1"/>
    <x v="2"/>
    <n v="24"/>
    <n v="70"/>
  </r>
  <r>
    <x v="118"/>
    <x v="5"/>
    <x v="0"/>
    <x v="1"/>
    <x v="1"/>
    <n v="50"/>
    <n v="85"/>
  </r>
  <r>
    <x v="118"/>
    <x v="13"/>
    <x v="0"/>
    <x v="1"/>
    <x v="2"/>
    <n v="87"/>
    <n v="61"/>
  </r>
  <r>
    <x v="119"/>
    <x v="14"/>
    <x v="2"/>
    <x v="1"/>
    <x v="2"/>
    <n v="45"/>
    <n v="123"/>
  </r>
  <r>
    <x v="119"/>
    <x v="5"/>
    <x v="0"/>
    <x v="1"/>
    <x v="1"/>
    <n v="56"/>
    <n v="97"/>
  </r>
  <r>
    <x v="119"/>
    <x v="8"/>
    <x v="2"/>
    <x v="1"/>
    <x v="1"/>
    <n v="54"/>
    <n v="62"/>
  </r>
  <r>
    <x v="119"/>
    <x v="8"/>
    <x v="2"/>
    <x v="0"/>
    <x v="2"/>
    <n v="78"/>
    <n v="33"/>
  </r>
  <r>
    <x v="119"/>
    <x v="12"/>
    <x v="2"/>
    <x v="0"/>
    <x v="1"/>
    <n v="85"/>
    <n v="54"/>
  </r>
  <r>
    <x v="119"/>
    <x v="9"/>
    <x v="2"/>
    <x v="0"/>
    <x v="1"/>
    <n v="99"/>
    <n v="142"/>
  </r>
  <r>
    <x v="119"/>
    <x v="3"/>
    <x v="2"/>
    <x v="1"/>
    <x v="2"/>
    <n v="28"/>
    <n v="86"/>
  </r>
  <r>
    <x v="119"/>
    <x v="2"/>
    <x v="0"/>
    <x v="0"/>
    <x v="0"/>
    <n v="60"/>
    <n v="63"/>
  </r>
  <r>
    <x v="119"/>
    <x v="6"/>
    <x v="0"/>
    <x v="0"/>
    <x v="0"/>
    <n v="48"/>
    <n v="54"/>
  </r>
  <r>
    <x v="119"/>
    <x v="11"/>
    <x v="1"/>
    <x v="1"/>
    <x v="0"/>
    <n v="80"/>
    <n v="88"/>
  </r>
  <r>
    <x v="119"/>
    <x v="13"/>
    <x v="0"/>
    <x v="0"/>
    <x v="1"/>
    <n v="73"/>
    <n v="57"/>
  </r>
  <r>
    <x v="120"/>
    <x v="8"/>
    <x v="2"/>
    <x v="1"/>
    <x v="0"/>
    <n v="64"/>
    <n v="38"/>
  </r>
  <r>
    <x v="120"/>
    <x v="4"/>
    <x v="1"/>
    <x v="1"/>
    <x v="1"/>
    <n v="36"/>
    <n v="116"/>
  </r>
  <r>
    <x v="120"/>
    <x v="3"/>
    <x v="2"/>
    <x v="0"/>
    <x v="2"/>
    <n v="14"/>
    <n v="146"/>
  </r>
  <r>
    <x v="120"/>
    <x v="9"/>
    <x v="2"/>
    <x v="1"/>
    <x v="0"/>
    <n v="32"/>
    <n v="23"/>
  </r>
  <r>
    <x v="120"/>
    <x v="13"/>
    <x v="0"/>
    <x v="0"/>
    <x v="2"/>
    <n v="72"/>
    <n v="144"/>
  </r>
  <r>
    <x v="120"/>
    <x v="3"/>
    <x v="2"/>
    <x v="1"/>
    <x v="0"/>
    <n v="79"/>
    <n v="124"/>
  </r>
  <r>
    <x v="120"/>
    <x v="7"/>
    <x v="1"/>
    <x v="1"/>
    <x v="2"/>
    <n v="14"/>
    <n v="61"/>
  </r>
  <r>
    <x v="121"/>
    <x v="3"/>
    <x v="2"/>
    <x v="0"/>
    <x v="0"/>
    <n v="10"/>
    <n v="133"/>
  </r>
  <r>
    <x v="121"/>
    <x v="14"/>
    <x v="2"/>
    <x v="1"/>
    <x v="2"/>
    <n v="80"/>
    <n v="21"/>
  </r>
  <r>
    <x v="121"/>
    <x v="4"/>
    <x v="1"/>
    <x v="0"/>
    <x v="0"/>
    <n v="20"/>
    <n v="69"/>
  </r>
  <r>
    <x v="121"/>
    <x v="4"/>
    <x v="1"/>
    <x v="0"/>
    <x v="2"/>
    <n v="100"/>
    <n v="77"/>
  </r>
  <r>
    <x v="121"/>
    <x v="6"/>
    <x v="0"/>
    <x v="1"/>
    <x v="2"/>
    <n v="15"/>
    <n v="128"/>
  </r>
  <r>
    <x v="121"/>
    <x v="1"/>
    <x v="1"/>
    <x v="0"/>
    <x v="2"/>
    <n v="81"/>
    <n v="46"/>
  </r>
  <r>
    <x v="121"/>
    <x v="4"/>
    <x v="1"/>
    <x v="0"/>
    <x v="0"/>
    <n v="68"/>
    <n v="54"/>
  </r>
  <r>
    <x v="121"/>
    <x v="11"/>
    <x v="1"/>
    <x v="1"/>
    <x v="2"/>
    <n v="35"/>
    <n v="73"/>
  </r>
  <r>
    <x v="121"/>
    <x v="7"/>
    <x v="1"/>
    <x v="0"/>
    <x v="1"/>
    <n v="78"/>
    <n v="132"/>
  </r>
  <r>
    <x v="122"/>
    <x v="4"/>
    <x v="1"/>
    <x v="1"/>
    <x v="0"/>
    <n v="92"/>
    <n v="36"/>
  </r>
  <r>
    <x v="122"/>
    <x v="2"/>
    <x v="0"/>
    <x v="1"/>
    <x v="1"/>
    <n v="89"/>
    <n v="42"/>
  </r>
  <r>
    <x v="122"/>
    <x v="14"/>
    <x v="2"/>
    <x v="0"/>
    <x v="0"/>
    <n v="95"/>
    <n v="135"/>
  </r>
  <r>
    <x v="122"/>
    <x v="5"/>
    <x v="0"/>
    <x v="1"/>
    <x v="1"/>
    <n v="35"/>
    <n v="111"/>
  </r>
  <r>
    <x v="122"/>
    <x v="8"/>
    <x v="2"/>
    <x v="0"/>
    <x v="1"/>
    <n v="51"/>
    <n v="31"/>
  </r>
  <r>
    <x v="122"/>
    <x v="8"/>
    <x v="2"/>
    <x v="1"/>
    <x v="2"/>
    <n v="31"/>
    <n v="104"/>
  </r>
  <r>
    <x v="122"/>
    <x v="12"/>
    <x v="2"/>
    <x v="1"/>
    <x v="0"/>
    <n v="13"/>
    <n v="63"/>
  </r>
  <r>
    <x v="122"/>
    <x v="5"/>
    <x v="0"/>
    <x v="0"/>
    <x v="2"/>
    <n v="26"/>
    <n v="65"/>
  </r>
  <r>
    <x v="122"/>
    <x v="7"/>
    <x v="1"/>
    <x v="1"/>
    <x v="0"/>
    <n v="45"/>
    <n v="40"/>
  </r>
  <r>
    <x v="123"/>
    <x v="5"/>
    <x v="0"/>
    <x v="0"/>
    <x v="1"/>
    <n v="19"/>
    <n v="76"/>
  </r>
  <r>
    <x v="123"/>
    <x v="10"/>
    <x v="1"/>
    <x v="1"/>
    <x v="1"/>
    <n v="37"/>
    <n v="38"/>
  </r>
  <r>
    <x v="123"/>
    <x v="14"/>
    <x v="2"/>
    <x v="0"/>
    <x v="0"/>
    <n v="92"/>
    <n v="124"/>
  </r>
  <r>
    <x v="124"/>
    <x v="3"/>
    <x v="2"/>
    <x v="0"/>
    <x v="1"/>
    <n v="90"/>
    <n v="63"/>
  </r>
  <r>
    <x v="124"/>
    <x v="11"/>
    <x v="1"/>
    <x v="0"/>
    <x v="1"/>
    <n v="28"/>
    <n v="32"/>
  </r>
  <r>
    <x v="124"/>
    <x v="13"/>
    <x v="0"/>
    <x v="1"/>
    <x v="0"/>
    <n v="50"/>
    <n v="27"/>
  </r>
  <r>
    <x v="124"/>
    <x v="3"/>
    <x v="2"/>
    <x v="1"/>
    <x v="1"/>
    <n v="15"/>
    <n v="30"/>
  </r>
  <r>
    <x v="124"/>
    <x v="3"/>
    <x v="2"/>
    <x v="1"/>
    <x v="0"/>
    <n v="66"/>
    <n v="71"/>
  </r>
  <r>
    <x v="124"/>
    <x v="9"/>
    <x v="2"/>
    <x v="1"/>
    <x v="2"/>
    <n v="66"/>
    <n v="66"/>
  </r>
  <r>
    <x v="124"/>
    <x v="5"/>
    <x v="0"/>
    <x v="1"/>
    <x v="2"/>
    <n v="83"/>
    <n v="72"/>
  </r>
  <r>
    <x v="124"/>
    <x v="3"/>
    <x v="2"/>
    <x v="0"/>
    <x v="0"/>
    <n v="87"/>
    <n v="143"/>
  </r>
  <r>
    <x v="124"/>
    <x v="13"/>
    <x v="0"/>
    <x v="0"/>
    <x v="0"/>
    <n v="54"/>
    <n v="126"/>
  </r>
  <r>
    <x v="125"/>
    <x v="5"/>
    <x v="0"/>
    <x v="0"/>
    <x v="2"/>
    <n v="63"/>
    <n v="46"/>
  </r>
  <r>
    <x v="125"/>
    <x v="2"/>
    <x v="0"/>
    <x v="0"/>
    <x v="0"/>
    <n v="80"/>
    <n v="102"/>
  </r>
  <r>
    <x v="125"/>
    <x v="4"/>
    <x v="1"/>
    <x v="1"/>
    <x v="2"/>
    <n v="98"/>
    <n v="95"/>
  </r>
  <r>
    <x v="126"/>
    <x v="14"/>
    <x v="2"/>
    <x v="0"/>
    <x v="1"/>
    <n v="55"/>
    <n v="111"/>
  </r>
  <r>
    <x v="126"/>
    <x v="7"/>
    <x v="1"/>
    <x v="0"/>
    <x v="2"/>
    <n v="74"/>
    <n v="79"/>
  </r>
  <r>
    <x v="127"/>
    <x v="7"/>
    <x v="1"/>
    <x v="0"/>
    <x v="1"/>
    <n v="80"/>
    <n v="107"/>
  </r>
  <r>
    <x v="127"/>
    <x v="4"/>
    <x v="1"/>
    <x v="0"/>
    <x v="1"/>
    <n v="92"/>
    <n v="108"/>
  </r>
  <r>
    <x v="127"/>
    <x v="5"/>
    <x v="0"/>
    <x v="1"/>
    <x v="2"/>
    <n v="50"/>
    <n v="89"/>
  </r>
  <r>
    <x v="127"/>
    <x v="2"/>
    <x v="0"/>
    <x v="0"/>
    <x v="2"/>
    <n v="64"/>
    <n v="40"/>
  </r>
  <r>
    <x v="127"/>
    <x v="2"/>
    <x v="0"/>
    <x v="1"/>
    <x v="0"/>
    <n v="84"/>
    <n v="86"/>
  </r>
  <r>
    <x v="127"/>
    <x v="10"/>
    <x v="1"/>
    <x v="1"/>
    <x v="2"/>
    <n v="69"/>
    <n v="24"/>
  </r>
  <r>
    <x v="128"/>
    <x v="6"/>
    <x v="0"/>
    <x v="0"/>
    <x v="1"/>
    <n v="41"/>
    <n v="63"/>
  </r>
  <r>
    <x v="128"/>
    <x v="9"/>
    <x v="2"/>
    <x v="0"/>
    <x v="1"/>
    <n v="48"/>
    <n v="71"/>
  </r>
  <r>
    <x v="128"/>
    <x v="5"/>
    <x v="0"/>
    <x v="0"/>
    <x v="1"/>
    <n v="78"/>
    <n v="57"/>
  </r>
  <r>
    <x v="128"/>
    <x v="0"/>
    <x v="0"/>
    <x v="1"/>
    <x v="2"/>
    <n v="60"/>
    <n v="31"/>
  </r>
  <r>
    <x v="129"/>
    <x v="12"/>
    <x v="2"/>
    <x v="0"/>
    <x v="2"/>
    <n v="67"/>
    <n v="30"/>
  </r>
  <r>
    <x v="129"/>
    <x v="6"/>
    <x v="0"/>
    <x v="1"/>
    <x v="1"/>
    <n v="54"/>
    <n v="69"/>
  </r>
  <r>
    <x v="129"/>
    <x v="5"/>
    <x v="0"/>
    <x v="0"/>
    <x v="2"/>
    <n v="62"/>
    <n v="63"/>
  </r>
  <r>
    <x v="129"/>
    <x v="12"/>
    <x v="2"/>
    <x v="1"/>
    <x v="0"/>
    <n v="50"/>
    <n v="125"/>
  </r>
  <r>
    <x v="129"/>
    <x v="13"/>
    <x v="0"/>
    <x v="0"/>
    <x v="1"/>
    <n v="25"/>
    <n v="92"/>
  </r>
  <r>
    <x v="129"/>
    <x v="3"/>
    <x v="2"/>
    <x v="1"/>
    <x v="0"/>
    <n v="17"/>
    <n v="110"/>
  </r>
  <r>
    <x v="129"/>
    <x v="7"/>
    <x v="1"/>
    <x v="1"/>
    <x v="1"/>
    <n v="91"/>
    <n v="114"/>
  </r>
  <r>
    <x v="129"/>
    <x v="9"/>
    <x v="2"/>
    <x v="0"/>
    <x v="0"/>
    <n v="43"/>
    <n v="130"/>
  </r>
  <r>
    <x v="130"/>
    <x v="13"/>
    <x v="0"/>
    <x v="1"/>
    <x v="1"/>
    <n v="96"/>
    <n v="26"/>
  </r>
  <r>
    <x v="130"/>
    <x v="1"/>
    <x v="1"/>
    <x v="1"/>
    <x v="0"/>
    <n v="51"/>
    <n v="112"/>
  </r>
  <r>
    <x v="130"/>
    <x v="1"/>
    <x v="1"/>
    <x v="0"/>
    <x v="2"/>
    <n v="20"/>
    <n v="134"/>
  </r>
  <r>
    <x v="130"/>
    <x v="8"/>
    <x v="2"/>
    <x v="0"/>
    <x v="1"/>
    <n v="25"/>
    <n v="145"/>
  </r>
  <r>
    <x v="130"/>
    <x v="11"/>
    <x v="1"/>
    <x v="1"/>
    <x v="2"/>
    <n v="45"/>
    <n v="100"/>
  </r>
  <r>
    <x v="130"/>
    <x v="12"/>
    <x v="2"/>
    <x v="0"/>
    <x v="0"/>
    <n v="63"/>
    <n v="50"/>
  </r>
  <r>
    <x v="130"/>
    <x v="5"/>
    <x v="0"/>
    <x v="0"/>
    <x v="0"/>
    <n v="36"/>
    <n v="147"/>
  </r>
  <r>
    <x v="131"/>
    <x v="14"/>
    <x v="2"/>
    <x v="0"/>
    <x v="1"/>
    <n v="40"/>
    <n v="68"/>
  </r>
  <r>
    <x v="131"/>
    <x v="7"/>
    <x v="1"/>
    <x v="1"/>
    <x v="0"/>
    <n v="71"/>
    <n v="38"/>
  </r>
  <r>
    <x v="132"/>
    <x v="9"/>
    <x v="2"/>
    <x v="0"/>
    <x v="2"/>
    <n v="54"/>
    <n v="29"/>
  </r>
  <r>
    <x v="132"/>
    <x v="10"/>
    <x v="1"/>
    <x v="1"/>
    <x v="1"/>
    <n v="66"/>
    <n v="30"/>
  </r>
  <r>
    <x v="132"/>
    <x v="6"/>
    <x v="0"/>
    <x v="0"/>
    <x v="0"/>
    <n v="95"/>
    <n v="68"/>
  </r>
  <r>
    <x v="132"/>
    <x v="2"/>
    <x v="0"/>
    <x v="1"/>
    <x v="2"/>
    <n v="64"/>
    <n v="94"/>
  </r>
  <r>
    <x v="133"/>
    <x v="2"/>
    <x v="0"/>
    <x v="1"/>
    <x v="0"/>
    <n v="88"/>
    <n v="141"/>
  </r>
  <r>
    <x v="133"/>
    <x v="1"/>
    <x v="1"/>
    <x v="1"/>
    <x v="0"/>
    <n v="54"/>
    <n v="40"/>
  </r>
  <r>
    <x v="133"/>
    <x v="4"/>
    <x v="1"/>
    <x v="0"/>
    <x v="1"/>
    <n v="28"/>
    <n v="129"/>
  </r>
  <r>
    <x v="133"/>
    <x v="3"/>
    <x v="2"/>
    <x v="0"/>
    <x v="1"/>
    <n v="92"/>
    <n v="58"/>
  </r>
  <r>
    <x v="133"/>
    <x v="13"/>
    <x v="0"/>
    <x v="0"/>
    <x v="2"/>
    <n v="38"/>
    <n v="28"/>
  </r>
  <r>
    <x v="134"/>
    <x v="3"/>
    <x v="2"/>
    <x v="1"/>
    <x v="0"/>
    <n v="37"/>
    <n v="23"/>
  </r>
  <r>
    <x v="134"/>
    <x v="7"/>
    <x v="1"/>
    <x v="0"/>
    <x v="2"/>
    <n v="35"/>
    <n v="121"/>
  </r>
  <r>
    <x v="134"/>
    <x v="7"/>
    <x v="1"/>
    <x v="1"/>
    <x v="2"/>
    <n v="93"/>
    <n v="39"/>
  </r>
  <r>
    <x v="135"/>
    <x v="6"/>
    <x v="0"/>
    <x v="0"/>
    <x v="2"/>
    <n v="15"/>
    <n v="57"/>
  </r>
  <r>
    <x v="135"/>
    <x v="12"/>
    <x v="2"/>
    <x v="0"/>
    <x v="0"/>
    <n v="49"/>
    <n v="85"/>
  </r>
  <r>
    <x v="135"/>
    <x v="14"/>
    <x v="2"/>
    <x v="0"/>
    <x v="1"/>
    <n v="37"/>
    <n v="89"/>
  </r>
  <r>
    <x v="135"/>
    <x v="7"/>
    <x v="1"/>
    <x v="0"/>
    <x v="0"/>
    <n v="51"/>
    <n v="114"/>
  </r>
  <r>
    <x v="135"/>
    <x v="8"/>
    <x v="2"/>
    <x v="0"/>
    <x v="2"/>
    <n v="38"/>
    <n v="135"/>
  </r>
  <r>
    <x v="136"/>
    <x v="7"/>
    <x v="1"/>
    <x v="1"/>
    <x v="0"/>
    <n v="27"/>
    <n v="53"/>
  </r>
  <r>
    <x v="136"/>
    <x v="8"/>
    <x v="2"/>
    <x v="1"/>
    <x v="1"/>
    <n v="72"/>
    <n v="94"/>
  </r>
  <r>
    <x v="136"/>
    <x v="3"/>
    <x v="2"/>
    <x v="0"/>
    <x v="2"/>
    <n v="69"/>
    <n v="136"/>
  </r>
  <r>
    <x v="137"/>
    <x v="13"/>
    <x v="0"/>
    <x v="1"/>
    <x v="1"/>
    <n v="66"/>
    <n v="57"/>
  </r>
  <r>
    <x v="137"/>
    <x v="1"/>
    <x v="1"/>
    <x v="0"/>
    <x v="2"/>
    <n v="43"/>
    <n v="132"/>
  </r>
  <r>
    <x v="137"/>
    <x v="5"/>
    <x v="0"/>
    <x v="1"/>
    <x v="1"/>
    <n v="85"/>
    <n v="27"/>
  </r>
  <r>
    <x v="137"/>
    <x v="3"/>
    <x v="2"/>
    <x v="0"/>
    <x v="2"/>
    <n v="39"/>
    <n v="58"/>
  </r>
  <r>
    <x v="137"/>
    <x v="5"/>
    <x v="0"/>
    <x v="1"/>
    <x v="0"/>
    <n v="17"/>
    <n v="47"/>
  </r>
  <r>
    <x v="138"/>
    <x v="4"/>
    <x v="1"/>
    <x v="0"/>
    <x v="1"/>
    <n v="85"/>
    <n v="114"/>
  </r>
  <r>
    <x v="138"/>
    <x v="1"/>
    <x v="1"/>
    <x v="0"/>
    <x v="1"/>
    <n v="28"/>
    <n v="108"/>
  </r>
  <r>
    <x v="138"/>
    <x v="14"/>
    <x v="2"/>
    <x v="1"/>
    <x v="2"/>
    <n v="14"/>
    <n v="57"/>
  </r>
  <r>
    <x v="138"/>
    <x v="9"/>
    <x v="2"/>
    <x v="1"/>
    <x v="2"/>
    <n v="20"/>
    <n v="133"/>
  </r>
  <r>
    <x v="138"/>
    <x v="12"/>
    <x v="2"/>
    <x v="1"/>
    <x v="2"/>
    <n v="51"/>
    <n v="91"/>
  </r>
  <r>
    <x v="139"/>
    <x v="4"/>
    <x v="1"/>
    <x v="0"/>
    <x v="2"/>
    <n v="72"/>
    <n v="150"/>
  </r>
  <r>
    <x v="139"/>
    <x v="13"/>
    <x v="0"/>
    <x v="1"/>
    <x v="1"/>
    <n v="79"/>
    <n v="134"/>
  </r>
  <r>
    <x v="139"/>
    <x v="7"/>
    <x v="1"/>
    <x v="1"/>
    <x v="2"/>
    <n v="74"/>
    <n v="103"/>
  </r>
  <r>
    <x v="139"/>
    <x v="3"/>
    <x v="2"/>
    <x v="0"/>
    <x v="0"/>
    <n v="12"/>
    <n v="148"/>
  </r>
  <r>
    <x v="139"/>
    <x v="12"/>
    <x v="2"/>
    <x v="0"/>
    <x v="2"/>
    <n v="49"/>
    <n v="26"/>
  </r>
  <r>
    <x v="139"/>
    <x v="2"/>
    <x v="0"/>
    <x v="1"/>
    <x v="1"/>
    <n v="67"/>
    <n v="115"/>
  </r>
  <r>
    <x v="139"/>
    <x v="13"/>
    <x v="0"/>
    <x v="0"/>
    <x v="0"/>
    <n v="55"/>
    <n v="100"/>
  </r>
  <r>
    <x v="139"/>
    <x v="12"/>
    <x v="2"/>
    <x v="1"/>
    <x v="0"/>
    <n v="22"/>
    <n v="95"/>
  </r>
  <r>
    <x v="139"/>
    <x v="2"/>
    <x v="0"/>
    <x v="0"/>
    <x v="2"/>
    <n v="27"/>
    <n v="33"/>
  </r>
  <r>
    <x v="139"/>
    <x v="2"/>
    <x v="0"/>
    <x v="1"/>
    <x v="2"/>
    <n v="65"/>
    <n v="149"/>
  </r>
  <r>
    <x v="140"/>
    <x v="4"/>
    <x v="1"/>
    <x v="0"/>
    <x v="1"/>
    <n v="38"/>
    <n v="57"/>
  </r>
  <r>
    <x v="140"/>
    <x v="9"/>
    <x v="2"/>
    <x v="1"/>
    <x v="1"/>
    <n v="85"/>
    <n v="124"/>
  </r>
  <r>
    <x v="140"/>
    <x v="2"/>
    <x v="0"/>
    <x v="1"/>
    <x v="2"/>
    <n v="87"/>
    <n v="50"/>
  </r>
  <r>
    <x v="140"/>
    <x v="5"/>
    <x v="0"/>
    <x v="1"/>
    <x v="1"/>
    <n v="77"/>
    <n v="127"/>
  </r>
  <r>
    <x v="140"/>
    <x v="4"/>
    <x v="1"/>
    <x v="0"/>
    <x v="2"/>
    <n v="94"/>
    <n v="148"/>
  </r>
  <r>
    <x v="140"/>
    <x v="7"/>
    <x v="1"/>
    <x v="0"/>
    <x v="2"/>
    <n v="53"/>
    <n v="89"/>
  </r>
  <r>
    <x v="140"/>
    <x v="3"/>
    <x v="2"/>
    <x v="0"/>
    <x v="1"/>
    <n v="68"/>
    <n v="116"/>
  </r>
  <r>
    <x v="140"/>
    <x v="4"/>
    <x v="1"/>
    <x v="1"/>
    <x v="2"/>
    <n v="69"/>
    <n v="84"/>
  </r>
  <r>
    <x v="140"/>
    <x v="2"/>
    <x v="0"/>
    <x v="0"/>
    <x v="2"/>
    <n v="55"/>
    <n v="149"/>
  </r>
  <r>
    <x v="141"/>
    <x v="5"/>
    <x v="0"/>
    <x v="0"/>
    <x v="1"/>
    <n v="22"/>
    <n v="58"/>
  </r>
  <r>
    <x v="141"/>
    <x v="14"/>
    <x v="2"/>
    <x v="1"/>
    <x v="2"/>
    <n v="85"/>
    <n v="59"/>
  </r>
  <r>
    <x v="141"/>
    <x v="0"/>
    <x v="0"/>
    <x v="1"/>
    <x v="1"/>
    <n v="46"/>
    <n v="124"/>
  </r>
  <r>
    <x v="141"/>
    <x v="0"/>
    <x v="0"/>
    <x v="1"/>
    <x v="1"/>
    <n v="92"/>
    <n v="25"/>
  </r>
  <r>
    <x v="141"/>
    <x v="8"/>
    <x v="2"/>
    <x v="1"/>
    <x v="1"/>
    <n v="25"/>
    <n v="143"/>
  </r>
  <r>
    <x v="141"/>
    <x v="0"/>
    <x v="0"/>
    <x v="0"/>
    <x v="1"/>
    <n v="14"/>
    <n v="33"/>
  </r>
  <r>
    <x v="141"/>
    <x v="5"/>
    <x v="0"/>
    <x v="0"/>
    <x v="1"/>
    <n v="78"/>
    <n v="122"/>
  </r>
  <r>
    <x v="142"/>
    <x v="8"/>
    <x v="2"/>
    <x v="0"/>
    <x v="0"/>
    <n v="93"/>
    <n v="91"/>
  </r>
  <r>
    <x v="142"/>
    <x v="0"/>
    <x v="0"/>
    <x v="0"/>
    <x v="2"/>
    <n v="38"/>
    <n v="150"/>
  </r>
  <r>
    <x v="142"/>
    <x v="1"/>
    <x v="1"/>
    <x v="0"/>
    <x v="0"/>
    <n v="46"/>
    <n v="35"/>
  </r>
  <r>
    <x v="142"/>
    <x v="14"/>
    <x v="2"/>
    <x v="1"/>
    <x v="0"/>
    <n v="59"/>
    <n v="55"/>
  </r>
  <r>
    <x v="142"/>
    <x v="14"/>
    <x v="2"/>
    <x v="1"/>
    <x v="2"/>
    <n v="30"/>
    <n v="85"/>
  </r>
  <r>
    <x v="142"/>
    <x v="9"/>
    <x v="2"/>
    <x v="1"/>
    <x v="2"/>
    <n v="82"/>
    <n v="105"/>
  </r>
  <r>
    <x v="142"/>
    <x v="10"/>
    <x v="1"/>
    <x v="0"/>
    <x v="2"/>
    <n v="64"/>
    <n v="95"/>
  </r>
  <r>
    <x v="142"/>
    <x v="13"/>
    <x v="0"/>
    <x v="1"/>
    <x v="2"/>
    <n v="46"/>
    <n v="83"/>
  </r>
  <r>
    <x v="143"/>
    <x v="1"/>
    <x v="1"/>
    <x v="1"/>
    <x v="0"/>
    <n v="25"/>
    <n v="140"/>
  </r>
  <r>
    <x v="143"/>
    <x v="5"/>
    <x v="0"/>
    <x v="0"/>
    <x v="2"/>
    <n v="77"/>
    <n v="150"/>
  </r>
  <r>
    <x v="143"/>
    <x v="12"/>
    <x v="2"/>
    <x v="1"/>
    <x v="1"/>
    <n v="27"/>
    <n v="125"/>
  </r>
  <r>
    <x v="143"/>
    <x v="9"/>
    <x v="2"/>
    <x v="0"/>
    <x v="1"/>
    <n v="19"/>
    <n v="127"/>
  </r>
  <r>
    <x v="143"/>
    <x v="12"/>
    <x v="2"/>
    <x v="0"/>
    <x v="0"/>
    <n v="98"/>
    <n v="82"/>
  </r>
  <r>
    <x v="143"/>
    <x v="8"/>
    <x v="2"/>
    <x v="0"/>
    <x v="0"/>
    <n v="94"/>
    <n v="40"/>
  </r>
  <r>
    <x v="143"/>
    <x v="3"/>
    <x v="2"/>
    <x v="1"/>
    <x v="0"/>
    <n v="44"/>
    <n v="100"/>
  </r>
  <r>
    <x v="143"/>
    <x v="2"/>
    <x v="0"/>
    <x v="0"/>
    <x v="0"/>
    <n v="40"/>
    <n v="127"/>
  </r>
  <r>
    <x v="144"/>
    <x v="11"/>
    <x v="1"/>
    <x v="0"/>
    <x v="0"/>
    <n v="96"/>
    <n v="73"/>
  </r>
  <r>
    <x v="144"/>
    <x v="5"/>
    <x v="0"/>
    <x v="1"/>
    <x v="1"/>
    <n v="51"/>
    <n v="137"/>
  </r>
  <r>
    <x v="144"/>
    <x v="5"/>
    <x v="0"/>
    <x v="0"/>
    <x v="0"/>
    <n v="75"/>
    <n v="100"/>
  </r>
  <r>
    <x v="144"/>
    <x v="9"/>
    <x v="2"/>
    <x v="0"/>
    <x v="1"/>
    <n v="66"/>
    <n v="101"/>
  </r>
  <r>
    <x v="145"/>
    <x v="12"/>
    <x v="2"/>
    <x v="0"/>
    <x v="0"/>
    <n v="30"/>
    <n v="122"/>
  </r>
  <r>
    <x v="145"/>
    <x v="1"/>
    <x v="1"/>
    <x v="1"/>
    <x v="0"/>
    <n v="60"/>
    <n v="26"/>
  </r>
  <r>
    <x v="145"/>
    <x v="13"/>
    <x v="0"/>
    <x v="1"/>
    <x v="2"/>
    <n v="41"/>
    <n v="142"/>
  </r>
  <r>
    <x v="145"/>
    <x v="13"/>
    <x v="0"/>
    <x v="1"/>
    <x v="1"/>
    <n v="59"/>
    <n v="25"/>
  </r>
  <r>
    <x v="145"/>
    <x v="1"/>
    <x v="1"/>
    <x v="1"/>
    <x v="0"/>
    <n v="19"/>
    <n v="79"/>
  </r>
  <r>
    <x v="145"/>
    <x v="10"/>
    <x v="1"/>
    <x v="1"/>
    <x v="0"/>
    <n v="63"/>
    <n v="33"/>
  </r>
  <r>
    <x v="145"/>
    <x v="8"/>
    <x v="2"/>
    <x v="0"/>
    <x v="1"/>
    <n v="23"/>
    <n v="63"/>
  </r>
  <r>
    <x v="145"/>
    <x v="1"/>
    <x v="1"/>
    <x v="0"/>
    <x v="0"/>
    <n v="75"/>
    <n v="69"/>
  </r>
  <r>
    <x v="145"/>
    <x v="12"/>
    <x v="2"/>
    <x v="1"/>
    <x v="2"/>
    <n v="92"/>
    <n v="95"/>
  </r>
  <r>
    <x v="145"/>
    <x v="3"/>
    <x v="2"/>
    <x v="0"/>
    <x v="0"/>
    <n v="42"/>
    <n v="142"/>
  </r>
  <r>
    <x v="145"/>
    <x v="14"/>
    <x v="2"/>
    <x v="1"/>
    <x v="2"/>
    <n v="36"/>
    <n v="59"/>
  </r>
  <r>
    <x v="145"/>
    <x v="12"/>
    <x v="2"/>
    <x v="0"/>
    <x v="2"/>
    <n v="61"/>
    <n v="80"/>
  </r>
  <r>
    <x v="146"/>
    <x v="0"/>
    <x v="0"/>
    <x v="1"/>
    <x v="2"/>
    <n v="100"/>
    <n v="75"/>
  </r>
  <r>
    <x v="146"/>
    <x v="5"/>
    <x v="0"/>
    <x v="1"/>
    <x v="1"/>
    <n v="34"/>
    <n v="141"/>
  </r>
  <r>
    <x v="146"/>
    <x v="0"/>
    <x v="0"/>
    <x v="0"/>
    <x v="1"/>
    <n v="24"/>
    <n v="25"/>
  </r>
  <r>
    <x v="146"/>
    <x v="9"/>
    <x v="2"/>
    <x v="1"/>
    <x v="2"/>
    <n v="28"/>
    <n v="28"/>
  </r>
  <r>
    <x v="146"/>
    <x v="14"/>
    <x v="2"/>
    <x v="1"/>
    <x v="2"/>
    <n v="13"/>
    <n v="49"/>
  </r>
  <r>
    <x v="146"/>
    <x v="10"/>
    <x v="1"/>
    <x v="1"/>
    <x v="2"/>
    <n v="58"/>
    <n v="24"/>
  </r>
  <r>
    <x v="147"/>
    <x v="12"/>
    <x v="2"/>
    <x v="0"/>
    <x v="0"/>
    <n v="89"/>
    <n v="45"/>
  </r>
  <r>
    <x v="147"/>
    <x v="7"/>
    <x v="1"/>
    <x v="0"/>
    <x v="2"/>
    <n v="45"/>
    <n v="29"/>
  </r>
  <r>
    <x v="147"/>
    <x v="14"/>
    <x v="2"/>
    <x v="0"/>
    <x v="1"/>
    <n v="60"/>
    <n v="52"/>
  </r>
  <r>
    <x v="147"/>
    <x v="14"/>
    <x v="2"/>
    <x v="0"/>
    <x v="1"/>
    <n v="94"/>
    <n v="138"/>
  </r>
  <r>
    <x v="147"/>
    <x v="7"/>
    <x v="1"/>
    <x v="1"/>
    <x v="2"/>
    <n v="97"/>
    <n v="146"/>
  </r>
  <r>
    <x v="147"/>
    <x v="1"/>
    <x v="1"/>
    <x v="1"/>
    <x v="2"/>
    <n v="96"/>
    <n v="96"/>
  </r>
  <r>
    <x v="147"/>
    <x v="10"/>
    <x v="1"/>
    <x v="0"/>
    <x v="0"/>
    <n v="29"/>
    <n v="49"/>
  </r>
  <r>
    <x v="148"/>
    <x v="6"/>
    <x v="0"/>
    <x v="1"/>
    <x v="1"/>
    <n v="22"/>
    <n v="110"/>
  </r>
  <r>
    <x v="148"/>
    <x v="14"/>
    <x v="2"/>
    <x v="0"/>
    <x v="2"/>
    <n v="90"/>
    <n v="80"/>
  </r>
  <r>
    <x v="148"/>
    <x v="4"/>
    <x v="1"/>
    <x v="0"/>
    <x v="0"/>
    <n v="95"/>
    <n v="82"/>
  </r>
  <r>
    <x v="148"/>
    <x v="11"/>
    <x v="1"/>
    <x v="0"/>
    <x v="1"/>
    <n v="30"/>
    <n v="88"/>
  </r>
  <r>
    <x v="148"/>
    <x v="9"/>
    <x v="2"/>
    <x v="0"/>
    <x v="2"/>
    <n v="71"/>
    <n v="103"/>
  </r>
  <r>
    <x v="149"/>
    <x v="3"/>
    <x v="2"/>
    <x v="0"/>
    <x v="0"/>
    <n v="86"/>
    <n v="25"/>
  </r>
  <r>
    <x v="149"/>
    <x v="5"/>
    <x v="0"/>
    <x v="1"/>
    <x v="0"/>
    <n v="100"/>
    <n v="97"/>
  </r>
  <r>
    <x v="149"/>
    <x v="4"/>
    <x v="1"/>
    <x v="0"/>
    <x v="2"/>
    <n v="56"/>
    <n v="44"/>
  </r>
  <r>
    <x v="149"/>
    <x v="1"/>
    <x v="1"/>
    <x v="1"/>
    <x v="0"/>
    <n v="68"/>
    <n v="53"/>
  </r>
  <r>
    <x v="149"/>
    <x v="4"/>
    <x v="1"/>
    <x v="0"/>
    <x v="2"/>
    <n v="79"/>
    <n v="67"/>
  </r>
  <r>
    <x v="149"/>
    <x v="1"/>
    <x v="1"/>
    <x v="1"/>
    <x v="1"/>
    <n v="72"/>
    <n v="44"/>
  </r>
  <r>
    <x v="149"/>
    <x v="6"/>
    <x v="0"/>
    <x v="1"/>
    <x v="1"/>
    <n v="64"/>
    <n v="61"/>
  </r>
  <r>
    <x v="150"/>
    <x v="13"/>
    <x v="0"/>
    <x v="1"/>
    <x v="1"/>
    <n v="44"/>
    <n v="58"/>
  </r>
  <r>
    <x v="150"/>
    <x v="12"/>
    <x v="2"/>
    <x v="1"/>
    <x v="1"/>
    <n v="48"/>
    <n v="98"/>
  </r>
  <r>
    <x v="150"/>
    <x v="11"/>
    <x v="1"/>
    <x v="0"/>
    <x v="2"/>
    <n v="61"/>
    <n v="21"/>
  </r>
  <r>
    <x v="150"/>
    <x v="9"/>
    <x v="2"/>
    <x v="1"/>
    <x v="1"/>
    <n v="89"/>
    <n v="149"/>
  </r>
  <r>
    <x v="150"/>
    <x v="0"/>
    <x v="0"/>
    <x v="0"/>
    <x v="2"/>
    <n v="47"/>
    <n v="135"/>
  </r>
  <r>
    <x v="150"/>
    <x v="2"/>
    <x v="0"/>
    <x v="1"/>
    <x v="0"/>
    <n v="69"/>
    <n v="143"/>
  </r>
  <r>
    <x v="150"/>
    <x v="3"/>
    <x v="2"/>
    <x v="1"/>
    <x v="2"/>
    <n v="88"/>
    <n v="106"/>
  </r>
  <r>
    <x v="150"/>
    <x v="0"/>
    <x v="0"/>
    <x v="0"/>
    <x v="2"/>
    <n v="84"/>
    <n v="114"/>
  </r>
  <r>
    <x v="150"/>
    <x v="4"/>
    <x v="1"/>
    <x v="0"/>
    <x v="2"/>
    <n v="99"/>
    <n v="93"/>
  </r>
  <r>
    <x v="151"/>
    <x v="13"/>
    <x v="0"/>
    <x v="1"/>
    <x v="2"/>
    <n v="70"/>
    <n v="101"/>
  </r>
  <r>
    <x v="151"/>
    <x v="14"/>
    <x v="2"/>
    <x v="1"/>
    <x v="2"/>
    <n v="31"/>
    <n v="108"/>
  </r>
  <r>
    <x v="151"/>
    <x v="11"/>
    <x v="1"/>
    <x v="0"/>
    <x v="0"/>
    <n v="25"/>
    <n v="137"/>
  </r>
  <r>
    <x v="151"/>
    <x v="14"/>
    <x v="2"/>
    <x v="0"/>
    <x v="2"/>
    <n v="39"/>
    <n v="33"/>
  </r>
  <r>
    <x v="151"/>
    <x v="14"/>
    <x v="2"/>
    <x v="0"/>
    <x v="2"/>
    <n v="73"/>
    <n v="49"/>
  </r>
  <r>
    <x v="151"/>
    <x v="7"/>
    <x v="1"/>
    <x v="1"/>
    <x v="0"/>
    <n v="55"/>
    <n v="129"/>
  </r>
  <r>
    <x v="151"/>
    <x v="1"/>
    <x v="1"/>
    <x v="1"/>
    <x v="1"/>
    <n v="16"/>
    <n v="52"/>
  </r>
  <r>
    <x v="151"/>
    <x v="7"/>
    <x v="1"/>
    <x v="0"/>
    <x v="0"/>
    <n v="24"/>
    <n v="55"/>
  </r>
  <r>
    <x v="152"/>
    <x v="14"/>
    <x v="2"/>
    <x v="0"/>
    <x v="1"/>
    <n v="71"/>
    <n v="66"/>
  </r>
  <r>
    <x v="152"/>
    <x v="2"/>
    <x v="0"/>
    <x v="0"/>
    <x v="0"/>
    <n v="16"/>
    <n v="95"/>
  </r>
  <r>
    <x v="152"/>
    <x v="3"/>
    <x v="2"/>
    <x v="1"/>
    <x v="2"/>
    <n v="80"/>
    <n v="112"/>
  </r>
  <r>
    <x v="152"/>
    <x v="7"/>
    <x v="1"/>
    <x v="0"/>
    <x v="2"/>
    <n v="48"/>
    <n v="114"/>
  </r>
  <r>
    <x v="152"/>
    <x v="12"/>
    <x v="2"/>
    <x v="0"/>
    <x v="2"/>
    <n v="10"/>
    <n v="28"/>
  </r>
  <r>
    <x v="153"/>
    <x v="11"/>
    <x v="1"/>
    <x v="1"/>
    <x v="0"/>
    <n v="62"/>
    <n v="53"/>
  </r>
  <r>
    <x v="153"/>
    <x v="9"/>
    <x v="2"/>
    <x v="1"/>
    <x v="1"/>
    <n v="20"/>
    <n v="126"/>
  </r>
  <r>
    <x v="153"/>
    <x v="10"/>
    <x v="1"/>
    <x v="0"/>
    <x v="0"/>
    <n v="99"/>
    <n v="66"/>
  </r>
  <r>
    <x v="153"/>
    <x v="5"/>
    <x v="0"/>
    <x v="0"/>
    <x v="1"/>
    <n v="73"/>
    <n v="65"/>
  </r>
  <r>
    <x v="153"/>
    <x v="4"/>
    <x v="1"/>
    <x v="0"/>
    <x v="2"/>
    <n v="56"/>
    <n v="67"/>
  </r>
  <r>
    <x v="153"/>
    <x v="7"/>
    <x v="1"/>
    <x v="0"/>
    <x v="0"/>
    <n v="29"/>
    <n v="35"/>
  </r>
  <r>
    <x v="153"/>
    <x v="1"/>
    <x v="1"/>
    <x v="1"/>
    <x v="2"/>
    <n v="17"/>
    <n v="108"/>
  </r>
  <r>
    <x v="154"/>
    <x v="0"/>
    <x v="0"/>
    <x v="1"/>
    <x v="1"/>
    <n v="80"/>
    <n v="42"/>
  </r>
  <r>
    <x v="154"/>
    <x v="7"/>
    <x v="1"/>
    <x v="0"/>
    <x v="2"/>
    <n v="96"/>
    <n v="25"/>
  </r>
  <r>
    <x v="154"/>
    <x v="12"/>
    <x v="2"/>
    <x v="0"/>
    <x v="2"/>
    <n v="26"/>
    <n v="105"/>
  </r>
  <r>
    <x v="154"/>
    <x v="4"/>
    <x v="1"/>
    <x v="1"/>
    <x v="0"/>
    <n v="45"/>
    <n v="142"/>
  </r>
  <r>
    <x v="154"/>
    <x v="13"/>
    <x v="0"/>
    <x v="0"/>
    <x v="0"/>
    <n v="32"/>
    <n v="48"/>
  </r>
  <r>
    <x v="154"/>
    <x v="7"/>
    <x v="1"/>
    <x v="0"/>
    <x v="0"/>
    <n v="76"/>
    <n v="121"/>
  </r>
  <r>
    <x v="155"/>
    <x v="4"/>
    <x v="1"/>
    <x v="1"/>
    <x v="2"/>
    <n v="73"/>
    <n v="149"/>
  </r>
  <r>
    <x v="155"/>
    <x v="6"/>
    <x v="0"/>
    <x v="1"/>
    <x v="1"/>
    <n v="18"/>
    <n v="63"/>
  </r>
  <r>
    <x v="155"/>
    <x v="7"/>
    <x v="1"/>
    <x v="0"/>
    <x v="1"/>
    <n v="92"/>
    <n v="74"/>
  </r>
  <r>
    <x v="155"/>
    <x v="11"/>
    <x v="1"/>
    <x v="1"/>
    <x v="1"/>
    <n v="14"/>
    <n v="105"/>
  </r>
  <r>
    <x v="155"/>
    <x v="11"/>
    <x v="1"/>
    <x v="0"/>
    <x v="2"/>
    <n v="66"/>
    <n v="48"/>
  </r>
  <r>
    <x v="155"/>
    <x v="1"/>
    <x v="1"/>
    <x v="1"/>
    <x v="1"/>
    <n v="37"/>
    <n v="27"/>
  </r>
  <r>
    <x v="155"/>
    <x v="8"/>
    <x v="2"/>
    <x v="1"/>
    <x v="2"/>
    <n v="43"/>
    <n v="119"/>
  </r>
  <r>
    <x v="155"/>
    <x v="7"/>
    <x v="1"/>
    <x v="1"/>
    <x v="1"/>
    <n v="73"/>
    <n v="48"/>
  </r>
  <r>
    <x v="156"/>
    <x v="3"/>
    <x v="2"/>
    <x v="0"/>
    <x v="1"/>
    <n v="81"/>
    <n v="38"/>
  </r>
  <r>
    <x v="156"/>
    <x v="11"/>
    <x v="1"/>
    <x v="1"/>
    <x v="2"/>
    <n v="12"/>
    <n v="62"/>
  </r>
  <r>
    <x v="156"/>
    <x v="0"/>
    <x v="0"/>
    <x v="0"/>
    <x v="2"/>
    <n v="85"/>
    <n v="118"/>
  </r>
  <r>
    <x v="156"/>
    <x v="4"/>
    <x v="1"/>
    <x v="0"/>
    <x v="0"/>
    <n v="46"/>
    <n v="143"/>
  </r>
  <r>
    <x v="156"/>
    <x v="5"/>
    <x v="0"/>
    <x v="1"/>
    <x v="0"/>
    <n v="79"/>
    <n v="27"/>
  </r>
  <r>
    <x v="156"/>
    <x v="4"/>
    <x v="1"/>
    <x v="1"/>
    <x v="0"/>
    <n v="87"/>
    <n v="112"/>
  </r>
  <r>
    <x v="156"/>
    <x v="11"/>
    <x v="1"/>
    <x v="1"/>
    <x v="1"/>
    <n v="15"/>
    <n v="114"/>
  </r>
  <r>
    <x v="156"/>
    <x v="11"/>
    <x v="1"/>
    <x v="0"/>
    <x v="1"/>
    <n v="12"/>
    <n v="148"/>
  </r>
  <r>
    <x v="157"/>
    <x v="7"/>
    <x v="1"/>
    <x v="1"/>
    <x v="2"/>
    <n v="34"/>
    <n v="114"/>
  </r>
  <r>
    <x v="157"/>
    <x v="3"/>
    <x v="2"/>
    <x v="1"/>
    <x v="0"/>
    <n v="80"/>
    <n v="81"/>
  </r>
  <r>
    <x v="157"/>
    <x v="5"/>
    <x v="0"/>
    <x v="0"/>
    <x v="1"/>
    <n v="19"/>
    <n v="78"/>
  </r>
  <r>
    <x v="157"/>
    <x v="5"/>
    <x v="0"/>
    <x v="1"/>
    <x v="2"/>
    <n v="56"/>
    <n v="35"/>
  </r>
  <r>
    <x v="158"/>
    <x v="2"/>
    <x v="0"/>
    <x v="0"/>
    <x v="0"/>
    <n v="68"/>
    <n v="34"/>
  </r>
  <r>
    <x v="158"/>
    <x v="6"/>
    <x v="0"/>
    <x v="1"/>
    <x v="0"/>
    <n v="75"/>
    <n v="125"/>
  </r>
  <r>
    <x v="158"/>
    <x v="3"/>
    <x v="2"/>
    <x v="1"/>
    <x v="1"/>
    <n v="35"/>
    <n v="85"/>
  </r>
  <r>
    <x v="158"/>
    <x v="7"/>
    <x v="1"/>
    <x v="0"/>
    <x v="0"/>
    <n v="70"/>
    <n v="38"/>
  </r>
  <r>
    <x v="158"/>
    <x v="13"/>
    <x v="0"/>
    <x v="1"/>
    <x v="0"/>
    <n v="98"/>
    <n v="123"/>
  </r>
  <r>
    <x v="158"/>
    <x v="11"/>
    <x v="1"/>
    <x v="1"/>
    <x v="0"/>
    <n v="89"/>
    <n v="130"/>
  </r>
  <r>
    <x v="158"/>
    <x v="13"/>
    <x v="0"/>
    <x v="1"/>
    <x v="1"/>
    <n v="20"/>
    <n v="79"/>
  </r>
  <r>
    <x v="158"/>
    <x v="7"/>
    <x v="1"/>
    <x v="0"/>
    <x v="0"/>
    <n v="47"/>
    <n v="105"/>
  </r>
  <r>
    <x v="158"/>
    <x v="4"/>
    <x v="1"/>
    <x v="1"/>
    <x v="1"/>
    <n v="42"/>
    <n v="25"/>
  </r>
  <r>
    <x v="158"/>
    <x v="11"/>
    <x v="1"/>
    <x v="0"/>
    <x v="2"/>
    <n v="88"/>
    <n v="67"/>
  </r>
  <r>
    <x v="158"/>
    <x v="9"/>
    <x v="2"/>
    <x v="1"/>
    <x v="0"/>
    <n v="29"/>
    <n v="24"/>
  </r>
  <r>
    <x v="158"/>
    <x v="7"/>
    <x v="1"/>
    <x v="1"/>
    <x v="2"/>
    <n v="45"/>
    <n v="29"/>
  </r>
  <r>
    <x v="158"/>
    <x v="11"/>
    <x v="1"/>
    <x v="1"/>
    <x v="2"/>
    <n v="55"/>
    <n v="115"/>
  </r>
  <r>
    <x v="158"/>
    <x v="0"/>
    <x v="0"/>
    <x v="1"/>
    <x v="0"/>
    <n v="21"/>
    <n v="126"/>
  </r>
  <r>
    <x v="159"/>
    <x v="13"/>
    <x v="0"/>
    <x v="0"/>
    <x v="0"/>
    <n v="96"/>
    <n v="124"/>
  </r>
  <r>
    <x v="159"/>
    <x v="13"/>
    <x v="0"/>
    <x v="1"/>
    <x v="0"/>
    <n v="80"/>
    <n v="62"/>
  </r>
  <r>
    <x v="159"/>
    <x v="9"/>
    <x v="2"/>
    <x v="0"/>
    <x v="2"/>
    <n v="30"/>
    <n v="145"/>
  </r>
  <r>
    <x v="159"/>
    <x v="8"/>
    <x v="2"/>
    <x v="0"/>
    <x v="2"/>
    <n v="89"/>
    <n v="64"/>
  </r>
  <r>
    <x v="159"/>
    <x v="13"/>
    <x v="0"/>
    <x v="1"/>
    <x v="0"/>
    <n v="50"/>
    <n v="57"/>
  </r>
  <r>
    <x v="159"/>
    <x v="2"/>
    <x v="0"/>
    <x v="1"/>
    <x v="2"/>
    <n v="19"/>
    <n v="92"/>
  </r>
  <r>
    <x v="159"/>
    <x v="9"/>
    <x v="2"/>
    <x v="1"/>
    <x v="0"/>
    <n v="88"/>
    <n v="108"/>
  </r>
  <r>
    <x v="159"/>
    <x v="8"/>
    <x v="2"/>
    <x v="1"/>
    <x v="0"/>
    <n v="34"/>
    <n v="82"/>
  </r>
  <r>
    <x v="160"/>
    <x v="2"/>
    <x v="0"/>
    <x v="1"/>
    <x v="2"/>
    <n v="45"/>
    <n v="52"/>
  </r>
  <r>
    <x v="160"/>
    <x v="6"/>
    <x v="0"/>
    <x v="0"/>
    <x v="0"/>
    <n v="79"/>
    <n v="106"/>
  </r>
  <r>
    <x v="160"/>
    <x v="4"/>
    <x v="1"/>
    <x v="1"/>
    <x v="1"/>
    <n v="45"/>
    <n v="130"/>
  </r>
  <r>
    <x v="160"/>
    <x v="5"/>
    <x v="0"/>
    <x v="1"/>
    <x v="0"/>
    <n v="10"/>
    <n v="91"/>
  </r>
  <r>
    <x v="160"/>
    <x v="11"/>
    <x v="1"/>
    <x v="1"/>
    <x v="2"/>
    <n v="12"/>
    <n v="37"/>
  </r>
  <r>
    <x v="160"/>
    <x v="13"/>
    <x v="0"/>
    <x v="0"/>
    <x v="1"/>
    <n v="14"/>
    <n v="136"/>
  </r>
  <r>
    <x v="160"/>
    <x v="8"/>
    <x v="2"/>
    <x v="1"/>
    <x v="1"/>
    <n v="44"/>
    <n v="24"/>
  </r>
  <r>
    <x v="160"/>
    <x v="4"/>
    <x v="1"/>
    <x v="1"/>
    <x v="0"/>
    <n v="80"/>
    <n v="44"/>
  </r>
  <r>
    <x v="160"/>
    <x v="0"/>
    <x v="0"/>
    <x v="1"/>
    <x v="2"/>
    <n v="45"/>
    <n v="130"/>
  </r>
  <r>
    <x v="160"/>
    <x v="6"/>
    <x v="0"/>
    <x v="0"/>
    <x v="2"/>
    <n v="40"/>
    <n v="99"/>
  </r>
  <r>
    <x v="160"/>
    <x v="6"/>
    <x v="0"/>
    <x v="1"/>
    <x v="2"/>
    <n v="30"/>
    <n v="88"/>
  </r>
  <r>
    <x v="161"/>
    <x v="0"/>
    <x v="0"/>
    <x v="0"/>
    <x v="0"/>
    <n v="29"/>
    <n v="85"/>
  </r>
  <r>
    <x v="161"/>
    <x v="14"/>
    <x v="2"/>
    <x v="0"/>
    <x v="2"/>
    <n v="24"/>
    <n v="57"/>
  </r>
  <r>
    <x v="161"/>
    <x v="11"/>
    <x v="1"/>
    <x v="0"/>
    <x v="0"/>
    <n v="51"/>
    <n v="135"/>
  </r>
  <r>
    <x v="161"/>
    <x v="10"/>
    <x v="1"/>
    <x v="0"/>
    <x v="2"/>
    <n v="35"/>
    <n v="75"/>
  </r>
  <r>
    <x v="161"/>
    <x v="4"/>
    <x v="1"/>
    <x v="1"/>
    <x v="2"/>
    <n v="70"/>
    <n v="77"/>
  </r>
  <r>
    <x v="162"/>
    <x v="11"/>
    <x v="1"/>
    <x v="1"/>
    <x v="0"/>
    <n v="52"/>
    <n v="66"/>
  </r>
  <r>
    <x v="162"/>
    <x v="13"/>
    <x v="0"/>
    <x v="1"/>
    <x v="0"/>
    <n v="83"/>
    <n v="145"/>
  </r>
  <r>
    <x v="162"/>
    <x v="0"/>
    <x v="0"/>
    <x v="0"/>
    <x v="1"/>
    <n v="69"/>
    <n v="69"/>
  </r>
  <r>
    <x v="162"/>
    <x v="10"/>
    <x v="1"/>
    <x v="1"/>
    <x v="1"/>
    <n v="47"/>
    <n v="138"/>
  </r>
  <r>
    <x v="162"/>
    <x v="8"/>
    <x v="2"/>
    <x v="0"/>
    <x v="0"/>
    <n v="95"/>
    <n v="66"/>
  </r>
  <r>
    <x v="162"/>
    <x v="11"/>
    <x v="1"/>
    <x v="0"/>
    <x v="1"/>
    <n v="95"/>
    <n v="44"/>
  </r>
  <r>
    <x v="162"/>
    <x v="14"/>
    <x v="2"/>
    <x v="0"/>
    <x v="1"/>
    <n v="29"/>
    <n v="116"/>
  </r>
  <r>
    <x v="162"/>
    <x v="8"/>
    <x v="2"/>
    <x v="1"/>
    <x v="2"/>
    <n v="44"/>
    <n v="107"/>
  </r>
  <r>
    <x v="162"/>
    <x v="5"/>
    <x v="0"/>
    <x v="1"/>
    <x v="2"/>
    <n v="96"/>
    <n v="120"/>
  </r>
  <r>
    <x v="163"/>
    <x v="6"/>
    <x v="0"/>
    <x v="1"/>
    <x v="1"/>
    <n v="38"/>
    <n v="50"/>
  </r>
  <r>
    <x v="163"/>
    <x v="1"/>
    <x v="1"/>
    <x v="0"/>
    <x v="1"/>
    <n v="85"/>
    <n v="54"/>
  </r>
  <r>
    <x v="163"/>
    <x v="12"/>
    <x v="2"/>
    <x v="0"/>
    <x v="1"/>
    <n v="87"/>
    <n v="82"/>
  </r>
  <r>
    <x v="164"/>
    <x v="5"/>
    <x v="0"/>
    <x v="0"/>
    <x v="1"/>
    <n v="99"/>
    <n v="96"/>
  </r>
  <r>
    <x v="164"/>
    <x v="5"/>
    <x v="0"/>
    <x v="0"/>
    <x v="2"/>
    <n v="46"/>
    <n v="25"/>
  </r>
  <r>
    <x v="164"/>
    <x v="1"/>
    <x v="1"/>
    <x v="0"/>
    <x v="2"/>
    <n v="83"/>
    <n v="117"/>
  </r>
  <r>
    <x v="164"/>
    <x v="3"/>
    <x v="2"/>
    <x v="0"/>
    <x v="2"/>
    <n v="18"/>
    <n v="87"/>
  </r>
  <r>
    <x v="164"/>
    <x v="7"/>
    <x v="1"/>
    <x v="0"/>
    <x v="2"/>
    <n v="13"/>
    <n v="105"/>
  </r>
  <r>
    <x v="164"/>
    <x v="1"/>
    <x v="1"/>
    <x v="0"/>
    <x v="2"/>
    <n v="17"/>
    <n v="106"/>
  </r>
  <r>
    <x v="164"/>
    <x v="8"/>
    <x v="2"/>
    <x v="0"/>
    <x v="1"/>
    <n v="21"/>
    <n v="149"/>
  </r>
  <r>
    <x v="165"/>
    <x v="8"/>
    <x v="2"/>
    <x v="1"/>
    <x v="1"/>
    <n v="87"/>
    <n v="142"/>
  </r>
  <r>
    <x v="165"/>
    <x v="8"/>
    <x v="2"/>
    <x v="1"/>
    <x v="2"/>
    <n v="85"/>
    <n v="25"/>
  </r>
  <r>
    <x v="165"/>
    <x v="8"/>
    <x v="2"/>
    <x v="0"/>
    <x v="1"/>
    <n v="39"/>
    <n v="97"/>
  </r>
  <r>
    <x v="165"/>
    <x v="2"/>
    <x v="0"/>
    <x v="1"/>
    <x v="2"/>
    <n v="21"/>
    <n v="117"/>
  </r>
  <r>
    <x v="165"/>
    <x v="10"/>
    <x v="1"/>
    <x v="1"/>
    <x v="2"/>
    <n v="55"/>
    <n v="144"/>
  </r>
  <r>
    <x v="165"/>
    <x v="0"/>
    <x v="0"/>
    <x v="1"/>
    <x v="0"/>
    <n v="95"/>
    <n v="130"/>
  </r>
  <r>
    <x v="165"/>
    <x v="4"/>
    <x v="1"/>
    <x v="0"/>
    <x v="2"/>
    <n v="78"/>
    <n v="113"/>
  </r>
  <r>
    <x v="165"/>
    <x v="9"/>
    <x v="2"/>
    <x v="1"/>
    <x v="2"/>
    <n v="53"/>
    <n v="72"/>
  </r>
  <r>
    <x v="165"/>
    <x v="2"/>
    <x v="0"/>
    <x v="0"/>
    <x v="0"/>
    <n v="52"/>
    <n v="131"/>
  </r>
  <r>
    <x v="165"/>
    <x v="6"/>
    <x v="0"/>
    <x v="1"/>
    <x v="2"/>
    <n v="75"/>
    <n v="37"/>
  </r>
  <r>
    <x v="166"/>
    <x v="3"/>
    <x v="2"/>
    <x v="0"/>
    <x v="2"/>
    <n v="81"/>
    <n v="97"/>
  </r>
  <r>
    <x v="166"/>
    <x v="0"/>
    <x v="0"/>
    <x v="0"/>
    <x v="1"/>
    <n v="34"/>
    <n v="149"/>
  </r>
  <r>
    <x v="166"/>
    <x v="2"/>
    <x v="0"/>
    <x v="0"/>
    <x v="1"/>
    <n v="80"/>
    <n v="124"/>
  </r>
  <r>
    <x v="166"/>
    <x v="4"/>
    <x v="1"/>
    <x v="0"/>
    <x v="1"/>
    <n v="52"/>
    <n v="37"/>
  </r>
  <r>
    <x v="166"/>
    <x v="8"/>
    <x v="2"/>
    <x v="1"/>
    <x v="2"/>
    <n v="67"/>
    <n v="28"/>
  </r>
  <r>
    <x v="167"/>
    <x v="7"/>
    <x v="1"/>
    <x v="1"/>
    <x v="0"/>
    <n v="86"/>
    <n v="127"/>
  </r>
  <r>
    <x v="167"/>
    <x v="6"/>
    <x v="0"/>
    <x v="0"/>
    <x v="1"/>
    <n v="97"/>
    <n v="82"/>
  </r>
  <r>
    <x v="167"/>
    <x v="2"/>
    <x v="0"/>
    <x v="1"/>
    <x v="2"/>
    <n v="55"/>
    <n v="126"/>
  </r>
  <r>
    <x v="167"/>
    <x v="2"/>
    <x v="0"/>
    <x v="1"/>
    <x v="1"/>
    <n v="14"/>
    <n v="122"/>
  </r>
  <r>
    <x v="167"/>
    <x v="14"/>
    <x v="2"/>
    <x v="1"/>
    <x v="0"/>
    <n v="82"/>
    <n v="105"/>
  </r>
  <r>
    <x v="167"/>
    <x v="10"/>
    <x v="1"/>
    <x v="1"/>
    <x v="2"/>
    <n v="80"/>
    <n v="49"/>
  </r>
  <r>
    <x v="167"/>
    <x v="4"/>
    <x v="1"/>
    <x v="0"/>
    <x v="1"/>
    <n v="62"/>
    <n v="125"/>
  </r>
  <r>
    <x v="168"/>
    <x v="5"/>
    <x v="0"/>
    <x v="0"/>
    <x v="1"/>
    <n v="53"/>
    <n v="41"/>
  </r>
  <r>
    <x v="168"/>
    <x v="9"/>
    <x v="2"/>
    <x v="1"/>
    <x v="2"/>
    <n v="12"/>
    <n v="125"/>
  </r>
  <r>
    <x v="168"/>
    <x v="3"/>
    <x v="2"/>
    <x v="1"/>
    <x v="0"/>
    <n v="29"/>
    <n v="148"/>
  </r>
  <r>
    <x v="168"/>
    <x v="12"/>
    <x v="2"/>
    <x v="1"/>
    <x v="1"/>
    <n v="64"/>
    <n v="125"/>
  </r>
  <r>
    <x v="168"/>
    <x v="1"/>
    <x v="1"/>
    <x v="1"/>
    <x v="0"/>
    <n v="74"/>
    <n v="47"/>
  </r>
  <r>
    <x v="168"/>
    <x v="13"/>
    <x v="0"/>
    <x v="1"/>
    <x v="2"/>
    <n v="71"/>
    <n v="59"/>
  </r>
  <r>
    <x v="168"/>
    <x v="13"/>
    <x v="0"/>
    <x v="1"/>
    <x v="0"/>
    <n v="94"/>
    <n v="126"/>
  </r>
  <r>
    <x v="168"/>
    <x v="3"/>
    <x v="2"/>
    <x v="1"/>
    <x v="0"/>
    <n v="47"/>
    <n v="100"/>
  </r>
  <r>
    <x v="168"/>
    <x v="3"/>
    <x v="2"/>
    <x v="0"/>
    <x v="0"/>
    <n v="10"/>
    <n v="28"/>
  </r>
  <r>
    <x v="168"/>
    <x v="8"/>
    <x v="2"/>
    <x v="1"/>
    <x v="2"/>
    <n v="53"/>
    <n v="118"/>
  </r>
  <r>
    <x v="168"/>
    <x v="1"/>
    <x v="1"/>
    <x v="0"/>
    <x v="0"/>
    <n v="18"/>
    <n v="43"/>
  </r>
  <r>
    <x v="168"/>
    <x v="8"/>
    <x v="2"/>
    <x v="0"/>
    <x v="1"/>
    <n v="31"/>
    <n v="41"/>
  </r>
  <r>
    <x v="169"/>
    <x v="13"/>
    <x v="0"/>
    <x v="1"/>
    <x v="2"/>
    <n v="62"/>
    <n v="107"/>
  </r>
  <r>
    <x v="169"/>
    <x v="6"/>
    <x v="0"/>
    <x v="0"/>
    <x v="1"/>
    <n v="23"/>
    <n v="32"/>
  </r>
  <r>
    <x v="169"/>
    <x v="2"/>
    <x v="0"/>
    <x v="1"/>
    <x v="2"/>
    <n v="55"/>
    <n v="90"/>
  </r>
  <r>
    <x v="169"/>
    <x v="12"/>
    <x v="2"/>
    <x v="0"/>
    <x v="1"/>
    <n v="98"/>
    <n v="35"/>
  </r>
  <r>
    <x v="169"/>
    <x v="9"/>
    <x v="2"/>
    <x v="0"/>
    <x v="1"/>
    <n v="93"/>
    <n v="97"/>
  </r>
  <r>
    <x v="169"/>
    <x v="3"/>
    <x v="2"/>
    <x v="0"/>
    <x v="1"/>
    <n v="53"/>
    <n v="138"/>
  </r>
  <r>
    <x v="169"/>
    <x v="11"/>
    <x v="1"/>
    <x v="1"/>
    <x v="1"/>
    <n v="26"/>
    <n v="68"/>
  </r>
  <r>
    <x v="170"/>
    <x v="6"/>
    <x v="0"/>
    <x v="0"/>
    <x v="2"/>
    <n v="73"/>
    <n v="99"/>
  </r>
  <r>
    <x v="170"/>
    <x v="4"/>
    <x v="1"/>
    <x v="0"/>
    <x v="0"/>
    <n v="52"/>
    <n v="25"/>
  </r>
  <r>
    <x v="170"/>
    <x v="9"/>
    <x v="2"/>
    <x v="1"/>
    <x v="0"/>
    <n v="43"/>
    <n v="148"/>
  </r>
  <r>
    <x v="170"/>
    <x v="10"/>
    <x v="1"/>
    <x v="1"/>
    <x v="1"/>
    <n v="82"/>
    <n v="88"/>
  </r>
  <r>
    <x v="170"/>
    <x v="13"/>
    <x v="0"/>
    <x v="1"/>
    <x v="2"/>
    <n v="40"/>
    <n v="73"/>
  </r>
  <r>
    <x v="170"/>
    <x v="0"/>
    <x v="0"/>
    <x v="0"/>
    <x v="0"/>
    <n v="51"/>
    <n v="140"/>
  </r>
  <r>
    <x v="170"/>
    <x v="10"/>
    <x v="1"/>
    <x v="1"/>
    <x v="0"/>
    <n v="23"/>
    <n v="136"/>
  </r>
  <r>
    <x v="170"/>
    <x v="5"/>
    <x v="0"/>
    <x v="1"/>
    <x v="1"/>
    <n v="39"/>
    <n v="44"/>
  </r>
  <r>
    <x v="170"/>
    <x v="9"/>
    <x v="2"/>
    <x v="1"/>
    <x v="0"/>
    <n v="95"/>
    <n v="116"/>
  </r>
  <r>
    <x v="170"/>
    <x v="11"/>
    <x v="1"/>
    <x v="1"/>
    <x v="2"/>
    <n v="19"/>
    <n v="98"/>
  </r>
  <r>
    <x v="171"/>
    <x v="12"/>
    <x v="2"/>
    <x v="1"/>
    <x v="1"/>
    <n v="27"/>
    <n v="23"/>
  </r>
  <r>
    <x v="171"/>
    <x v="4"/>
    <x v="1"/>
    <x v="1"/>
    <x v="0"/>
    <n v="80"/>
    <n v="43"/>
  </r>
  <r>
    <x v="171"/>
    <x v="3"/>
    <x v="2"/>
    <x v="0"/>
    <x v="1"/>
    <n v="66"/>
    <n v="20"/>
  </r>
  <r>
    <x v="171"/>
    <x v="5"/>
    <x v="0"/>
    <x v="1"/>
    <x v="1"/>
    <n v="56"/>
    <n v="96"/>
  </r>
  <r>
    <x v="171"/>
    <x v="8"/>
    <x v="2"/>
    <x v="1"/>
    <x v="1"/>
    <n v="74"/>
    <n v="56"/>
  </r>
  <r>
    <x v="172"/>
    <x v="5"/>
    <x v="0"/>
    <x v="1"/>
    <x v="0"/>
    <n v="19"/>
    <n v="46"/>
  </r>
  <r>
    <x v="172"/>
    <x v="2"/>
    <x v="0"/>
    <x v="1"/>
    <x v="0"/>
    <n v="80"/>
    <n v="55"/>
  </r>
  <r>
    <x v="172"/>
    <x v="10"/>
    <x v="1"/>
    <x v="0"/>
    <x v="0"/>
    <n v="32"/>
    <n v="108"/>
  </r>
  <r>
    <x v="172"/>
    <x v="0"/>
    <x v="0"/>
    <x v="0"/>
    <x v="2"/>
    <n v="70"/>
    <n v="70"/>
  </r>
  <r>
    <x v="172"/>
    <x v="1"/>
    <x v="1"/>
    <x v="0"/>
    <x v="0"/>
    <n v="19"/>
    <n v="143"/>
  </r>
  <r>
    <x v="172"/>
    <x v="4"/>
    <x v="1"/>
    <x v="0"/>
    <x v="0"/>
    <n v="41"/>
    <n v="90"/>
  </r>
  <r>
    <x v="172"/>
    <x v="7"/>
    <x v="1"/>
    <x v="0"/>
    <x v="0"/>
    <n v="19"/>
    <n v="29"/>
  </r>
  <r>
    <x v="172"/>
    <x v="4"/>
    <x v="1"/>
    <x v="0"/>
    <x v="0"/>
    <n v="32"/>
    <n v="43"/>
  </r>
  <r>
    <x v="172"/>
    <x v="14"/>
    <x v="2"/>
    <x v="1"/>
    <x v="2"/>
    <n v="86"/>
    <n v="110"/>
  </r>
  <r>
    <x v="172"/>
    <x v="2"/>
    <x v="0"/>
    <x v="0"/>
    <x v="2"/>
    <n v="70"/>
    <n v="125"/>
  </r>
  <r>
    <x v="172"/>
    <x v="10"/>
    <x v="1"/>
    <x v="0"/>
    <x v="1"/>
    <n v="39"/>
    <n v="71"/>
  </r>
  <r>
    <x v="172"/>
    <x v="3"/>
    <x v="2"/>
    <x v="0"/>
    <x v="1"/>
    <n v="62"/>
    <n v="41"/>
  </r>
  <r>
    <x v="173"/>
    <x v="1"/>
    <x v="1"/>
    <x v="1"/>
    <x v="1"/>
    <n v="72"/>
    <n v="52"/>
  </r>
  <r>
    <x v="173"/>
    <x v="7"/>
    <x v="1"/>
    <x v="0"/>
    <x v="1"/>
    <n v="88"/>
    <n v="34"/>
  </r>
  <r>
    <x v="173"/>
    <x v="7"/>
    <x v="1"/>
    <x v="1"/>
    <x v="2"/>
    <n v="89"/>
    <n v="129"/>
  </r>
  <r>
    <x v="173"/>
    <x v="14"/>
    <x v="2"/>
    <x v="1"/>
    <x v="1"/>
    <n v="76"/>
    <n v="102"/>
  </r>
  <r>
    <x v="173"/>
    <x v="13"/>
    <x v="0"/>
    <x v="0"/>
    <x v="2"/>
    <n v="92"/>
    <n v="116"/>
  </r>
  <r>
    <x v="174"/>
    <x v="3"/>
    <x v="2"/>
    <x v="1"/>
    <x v="2"/>
    <n v="87"/>
    <n v="113"/>
  </r>
  <r>
    <x v="174"/>
    <x v="11"/>
    <x v="1"/>
    <x v="0"/>
    <x v="0"/>
    <n v="20"/>
    <n v="35"/>
  </r>
  <r>
    <x v="174"/>
    <x v="0"/>
    <x v="0"/>
    <x v="0"/>
    <x v="0"/>
    <n v="25"/>
    <n v="125"/>
  </r>
  <r>
    <x v="174"/>
    <x v="14"/>
    <x v="2"/>
    <x v="1"/>
    <x v="1"/>
    <n v="90"/>
    <n v="65"/>
  </r>
  <r>
    <x v="174"/>
    <x v="6"/>
    <x v="0"/>
    <x v="0"/>
    <x v="0"/>
    <n v="100"/>
    <n v="106"/>
  </r>
  <r>
    <x v="175"/>
    <x v="9"/>
    <x v="2"/>
    <x v="0"/>
    <x v="2"/>
    <n v="33"/>
    <n v="95"/>
  </r>
  <r>
    <x v="175"/>
    <x v="5"/>
    <x v="0"/>
    <x v="1"/>
    <x v="1"/>
    <n v="28"/>
    <n v="108"/>
  </r>
  <r>
    <x v="175"/>
    <x v="9"/>
    <x v="2"/>
    <x v="1"/>
    <x v="2"/>
    <n v="42"/>
    <n v="143"/>
  </r>
  <r>
    <x v="175"/>
    <x v="1"/>
    <x v="1"/>
    <x v="1"/>
    <x v="2"/>
    <n v="72"/>
    <n v="43"/>
  </r>
  <r>
    <x v="176"/>
    <x v="9"/>
    <x v="2"/>
    <x v="0"/>
    <x v="2"/>
    <n v="67"/>
    <n v="52"/>
  </r>
  <r>
    <x v="176"/>
    <x v="0"/>
    <x v="0"/>
    <x v="1"/>
    <x v="1"/>
    <n v="28"/>
    <n v="89"/>
  </r>
  <r>
    <x v="176"/>
    <x v="0"/>
    <x v="0"/>
    <x v="1"/>
    <x v="0"/>
    <n v="39"/>
    <n v="141"/>
  </r>
  <r>
    <x v="176"/>
    <x v="13"/>
    <x v="0"/>
    <x v="0"/>
    <x v="2"/>
    <n v="58"/>
    <n v="88"/>
  </r>
  <r>
    <x v="176"/>
    <x v="4"/>
    <x v="1"/>
    <x v="1"/>
    <x v="1"/>
    <n v="91"/>
    <n v="28"/>
  </r>
  <r>
    <x v="177"/>
    <x v="12"/>
    <x v="2"/>
    <x v="1"/>
    <x v="2"/>
    <n v="31"/>
    <n v="105"/>
  </r>
  <r>
    <x v="177"/>
    <x v="0"/>
    <x v="0"/>
    <x v="0"/>
    <x v="0"/>
    <n v="24"/>
    <n v="93"/>
  </r>
  <r>
    <x v="177"/>
    <x v="12"/>
    <x v="2"/>
    <x v="1"/>
    <x v="2"/>
    <n v="35"/>
    <n v="71"/>
  </r>
  <r>
    <x v="177"/>
    <x v="6"/>
    <x v="0"/>
    <x v="1"/>
    <x v="0"/>
    <n v="45"/>
    <n v="120"/>
  </r>
  <r>
    <x v="177"/>
    <x v="2"/>
    <x v="0"/>
    <x v="0"/>
    <x v="1"/>
    <n v="53"/>
    <n v="143"/>
  </r>
  <r>
    <x v="177"/>
    <x v="5"/>
    <x v="0"/>
    <x v="0"/>
    <x v="0"/>
    <n v="34"/>
    <n v="77"/>
  </r>
  <r>
    <x v="177"/>
    <x v="9"/>
    <x v="2"/>
    <x v="0"/>
    <x v="2"/>
    <n v="50"/>
    <n v="97"/>
  </r>
  <r>
    <x v="178"/>
    <x v="14"/>
    <x v="2"/>
    <x v="1"/>
    <x v="0"/>
    <n v="37"/>
    <n v="75"/>
  </r>
  <r>
    <x v="178"/>
    <x v="7"/>
    <x v="1"/>
    <x v="1"/>
    <x v="1"/>
    <n v="53"/>
    <n v="65"/>
  </r>
  <r>
    <x v="178"/>
    <x v="12"/>
    <x v="2"/>
    <x v="1"/>
    <x v="0"/>
    <n v="75"/>
    <n v="80"/>
  </r>
  <r>
    <x v="178"/>
    <x v="0"/>
    <x v="0"/>
    <x v="1"/>
    <x v="2"/>
    <n v="32"/>
    <n v="140"/>
  </r>
  <r>
    <x v="178"/>
    <x v="7"/>
    <x v="1"/>
    <x v="1"/>
    <x v="2"/>
    <n v="28"/>
    <n v="150"/>
  </r>
  <r>
    <x v="178"/>
    <x v="6"/>
    <x v="0"/>
    <x v="0"/>
    <x v="2"/>
    <n v="38"/>
    <n v="117"/>
  </r>
  <r>
    <x v="178"/>
    <x v="13"/>
    <x v="0"/>
    <x v="0"/>
    <x v="2"/>
    <n v="79"/>
    <n v="75"/>
  </r>
  <r>
    <x v="178"/>
    <x v="12"/>
    <x v="2"/>
    <x v="1"/>
    <x v="2"/>
    <n v="42"/>
    <n v="72"/>
  </r>
  <r>
    <x v="179"/>
    <x v="11"/>
    <x v="1"/>
    <x v="1"/>
    <x v="0"/>
    <n v="59"/>
    <n v="87"/>
  </r>
  <r>
    <x v="179"/>
    <x v="9"/>
    <x v="2"/>
    <x v="0"/>
    <x v="1"/>
    <n v="29"/>
    <n v="121"/>
  </r>
  <r>
    <x v="179"/>
    <x v="7"/>
    <x v="1"/>
    <x v="0"/>
    <x v="1"/>
    <n v="75"/>
    <n v="100"/>
  </r>
  <r>
    <x v="179"/>
    <x v="3"/>
    <x v="2"/>
    <x v="1"/>
    <x v="2"/>
    <n v="39"/>
    <n v="105"/>
  </r>
  <r>
    <x v="180"/>
    <x v="0"/>
    <x v="0"/>
    <x v="0"/>
    <x v="0"/>
    <n v="26"/>
    <n v="46"/>
  </r>
  <r>
    <x v="180"/>
    <x v="5"/>
    <x v="0"/>
    <x v="1"/>
    <x v="2"/>
    <n v="82"/>
    <n v="83"/>
  </r>
  <r>
    <x v="180"/>
    <x v="4"/>
    <x v="1"/>
    <x v="1"/>
    <x v="1"/>
    <n v="46"/>
    <n v="68"/>
  </r>
  <r>
    <x v="180"/>
    <x v="9"/>
    <x v="2"/>
    <x v="0"/>
    <x v="2"/>
    <n v="26"/>
    <n v="80"/>
  </r>
  <r>
    <x v="180"/>
    <x v="3"/>
    <x v="2"/>
    <x v="0"/>
    <x v="1"/>
    <n v="77"/>
    <n v="110"/>
  </r>
  <r>
    <x v="180"/>
    <x v="8"/>
    <x v="2"/>
    <x v="1"/>
    <x v="0"/>
    <n v="41"/>
    <n v="50"/>
  </r>
  <r>
    <x v="180"/>
    <x v="4"/>
    <x v="1"/>
    <x v="0"/>
    <x v="1"/>
    <n v="77"/>
    <n v="37"/>
  </r>
  <r>
    <x v="181"/>
    <x v="11"/>
    <x v="1"/>
    <x v="1"/>
    <x v="2"/>
    <n v="91"/>
    <n v="76"/>
  </r>
  <r>
    <x v="181"/>
    <x v="13"/>
    <x v="0"/>
    <x v="1"/>
    <x v="0"/>
    <n v="98"/>
    <n v="122"/>
  </r>
  <r>
    <x v="181"/>
    <x v="5"/>
    <x v="0"/>
    <x v="1"/>
    <x v="0"/>
    <n v="96"/>
    <n v="142"/>
  </r>
  <r>
    <x v="181"/>
    <x v="7"/>
    <x v="1"/>
    <x v="0"/>
    <x v="2"/>
    <n v="19"/>
    <n v="106"/>
  </r>
  <r>
    <x v="182"/>
    <x v="10"/>
    <x v="1"/>
    <x v="0"/>
    <x v="2"/>
    <n v="68"/>
    <n v="97"/>
  </r>
  <r>
    <x v="182"/>
    <x v="2"/>
    <x v="0"/>
    <x v="1"/>
    <x v="0"/>
    <n v="10"/>
    <n v="29"/>
  </r>
  <r>
    <x v="182"/>
    <x v="4"/>
    <x v="1"/>
    <x v="0"/>
    <x v="2"/>
    <n v="34"/>
    <n v="140"/>
  </r>
  <r>
    <x v="182"/>
    <x v="12"/>
    <x v="2"/>
    <x v="1"/>
    <x v="0"/>
    <n v="55"/>
    <n v="139"/>
  </r>
  <r>
    <x v="182"/>
    <x v="7"/>
    <x v="1"/>
    <x v="0"/>
    <x v="1"/>
    <n v="13"/>
    <n v="103"/>
  </r>
  <r>
    <x v="182"/>
    <x v="0"/>
    <x v="0"/>
    <x v="1"/>
    <x v="1"/>
    <n v="86"/>
    <n v="129"/>
  </r>
  <r>
    <x v="182"/>
    <x v="9"/>
    <x v="2"/>
    <x v="1"/>
    <x v="2"/>
    <n v="83"/>
    <n v="131"/>
  </r>
  <r>
    <x v="183"/>
    <x v="14"/>
    <x v="2"/>
    <x v="1"/>
    <x v="2"/>
    <n v="92"/>
    <n v="49"/>
  </r>
  <r>
    <x v="183"/>
    <x v="9"/>
    <x v="2"/>
    <x v="0"/>
    <x v="1"/>
    <n v="79"/>
    <n v="23"/>
  </r>
  <r>
    <x v="183"/>
    <x v="11"/>
    <x v="1"/>
    <x v="1"/>
    <x v="1"/>
    <n v="25"/>
    <n v="57"/>
  </r>
  <r>
    <x v="183"/>
    <x v="7"/>
    <x v="1"/>
    <x v="0"/>
    <x v="0"/>
    <n v="49"/>
    <n v="55"/>
  </r>
  <r>
    <x v="183"/>
    <x v="7"/>
    <x v="1"/>
    <x v="1"/>
    <x v="2"/>
    <n v="28"/>
    <n v="105"/>
  </r>
  <r>
    <x v="183"/>
    <x v="8"/>
    <x v="2"/>
    <x v="0"/>
    <x v="1"/>
    <n v="68"/>
    <n v="97"/>
  </r>
  <r>
    <x v="183"/>
    <x v="9"/>
    <x v="2"/>
    <x v="1"/>
    <x v="1"/>
    <n v="28"/>
    <n v="69"/>
  </r>
  <r>
    <x v="183"/>
    <x v="13"/>
    <x v="0"/>
    <x v="0"/>
    <x v="2"/>
    <n v="62"/>
    <n v="109"/>
  </r>
  <r>
    <x v="183"/>
    <x v="14"/>
    <x v="2"/>
    <x v="1"/>
    <x v="1"/>
    <n v="61"/>
    <n v="70"/>
  </r>
  <r>
    <x v="183"/>
    <x v="14"/>
    <x v="2"/>
    <x v="1"/>
    <x v="0"/>
    <n v="77"/>
    <n v="37"/>
  </r>
  <r>
    <x v="183"/>
    <x v="0"/>
    <x v="0"/>
    <x v="0"/>
    <x v="1"/>
    <n v="48"/>
    <n v="65"/>
  </r>
  <r>
    <x v="184"/>
    <x v="12"/>
    <x v="2"/>
    <x v="1"/>
    <x v="2"/>
    <n v="78"/>
    <n v="50"/>
  </r>
  <r>
    <x v="184"/>
    <x v="14"/>
    <x v="2"/>
    <x v="0"/>
    <x v="0"/>
    <n v="61"/>
    <n v="55"/>
  </r>
  <r>
    <x v="184"/>
    <x v="5"/>
    <x v="0"/>
    <x v="1"/>
    <x v="1"/>
    <n v="34"/>
    <n v="93"/>
  </r>
  <r>
    <x v="184"/>
    <x v="4"/>
    <x v="1"/>
    <x v="1"/>
    <x v="2"/>
    <n v="42"/>
    <n v="43"/>
  </r>
  <r>
    <x v="184"/>
    <x v="0"/>
    <x v="0"/>
    <x v="0"/>
    <x v="2"/>
    <n v="37"/>
    <n v="85"/>
  </r>
  <r>
    <x v="184"/>
    <x v="7"/>
    <x v="1"/>
    <x v="0"/>
    <x v="0"/>
    <n v="20"/>
    <n v="137"/>
  </r>
  <r>
    <x v="184"/>
    <x v="5"/>
    <x v="0"/>
    <x v="1"/>
    <x v="0"/>
    <n v="32"/>
    <n v="118"/>
  </r>
  <r>
    <x v="185"/>
    <x v="2"/>
    <x v="0"/>
    <x v="1"/>
    <x v="0"/>
    <n v="68"/>
    <n v="141"/>
  </r>
  <r>
    <x v="185"/>
    <x v="7"/>
    <x v="1"/>
    <x v="1"/>
    <x v="1"/>
    <n v="22"/>
    <n v="79"/>
  </r>
  <r>
    <x v="185"/>
    <x v="1"/>
    <x v="1"/>
    <x v="1"/>
    <x v="2"/>
    <n v="35"/>
    <n v="84"/>
  </r>
  <r>
    <x v="185"/>
    <x v="10"/>
    <x v="1"/>
    <x v="0"/>
    <x v="2"/>
    <n v="95"/>
    <n v="65"/>
  </r>
  <r>
    <x v="185"/>
    <x v="7"/>
    <x v="1"/>
    <x v="1"/>
    <x v="0"/>
    <n v="17"/>
    <n v="118"/>
  </r>
  <r>
    <x v="185"/>
    <x v="6"/>
    <x v="0"/>
    <x v="1"/>
    <x v="2"/>
    <n v="51"/>
    <n v="127"/>
  </r>
  <r>
    <x v="185"/>
    <x v="6"/>
    <x v="0"/>
    <x v="1"/>
    <x v="0"/>
    <n v="54"/>
    <n v="54"/>
  </r>
  <r>
    <x v="185"/>
    <x v="10"/>
    <x v="1"/>
    <x v="1"/>
    <x v="2"/>
    <n v="28"/>
    <n v="64"/>
  </r>
  <r>
    <x v="185"/>
    <x v="10"/>
    <x v="1"/>
    <x v="0"/>
    <x v="0"/>
    <n v="54"/>
    <n v="66"/>
  </r>
  <r>
    <x v="186"/>
    <x v="9"/>
    <x v="2"/>
    <x v="1"/>
    <x v="0"/>
    <n v="80"/>
    <n v="106"/>
  </r>
  <r>
    <x v="186"/>
    <x v="2"/>
    <x v="0"/>
    <x v="1"/>
    <x v="1"/>
    <n v="40"/>
    <n v="140"/>
  </r>
  <r>
    <x v="186"/>
    <x v="3"/>
    <x v="2"/>
    <x v="0"/>
    <x v="2"/>
    <n v="33"/>
    <n v="139"/>
  </r>
  <r>
    <x v="187"/>
    <x v="6"/>
    <x v="0"/>
    <x v="0"/>
    <x v="0"/>
    <n v="42"/>
    <n v="56"/>
  </r>
  <r>
    <x v="187"/>
    <x v="6"/>
    <x v="0"/>
    <x v="0"/>
    <x v="2"/>
    <n v="45"/>
    <n v="118"/>
  </r>
  <r>
    <x v="187"/>
    <x v="1"/>
    <x v="1"/>
    <x v="1"/>
    <x v="0"/>
    <n v="45"/>
    <n v="53"/>
  </r>
  <r>
    <x v="187"/>
    <x v="14"/>
    <x v="2"/>
    <x v="1"/>
    <x v="2"/>
    <n v="15"/>
    <n v="124"/>
  </r>
  <r>
    <x v="187"/>
    <x v="9"/>
    <x v="2"/>
    <x v="1"/>
    <x v="1"/>
    <n v="92"/>
    <n v="98"/>
  </r>
  <r>
    <x v="187"/>
    <x v="14"/>
    <x v="2"/>
    <x v="1"/>
    <x v="1"/>
    <n v="53"/>
    <n v="143"/>
  </r>
  <r>
    <x v="187"/>
    <x v="11"/>
    <x v="1"/>
    <x v="0"/>
    <x v="2"/>
    <n v="15"/>
    <n v="101"/>
  </r>
  <r>
    <x v="188"/>
    <x v="3"/>
    <x v="2"/>
    <x v="1"/>
    <x v="2"/>
    <n v="23"/>
    <n v="123"/>
  </r>
  <r>
    <x v="188"/>
    <x v="1"/>
    <x v="1"/>
    <x v="0"/>
    <x v="2"/>
    <n v="70"/>
    <n v="105"/>
  </r>
  <r>
    <x v="188"/>
    <x v="11"/>
    <x v="1"/>
    <x v="0"/>
    <x v="0"/>
    <n v="60"/>
    <n v="90"/>
  </r>
  <r>
    <x v="188"/>
    <x v="3"/>
    <x v="2"/>
    <x v="1"/>
    <x v="0"/>
    <n v="19"/>
    <n v="98"/>
  </r>
  <r>
    <x v="188"/>
    <x v="10"/>
    <x v="1"/>
    <x v="0"/>
    <x v="2"/>
    <n v="12"/>
    <n v="96"/>
  </r>
  <r>
    <x v="188"/>
    <x v="0"/>
    <x v="0"/>
    <x v="0"/>
    <x v="1"/>
    <n v="27"/>
    <n v="120"/>
  </r>
  <r>
    <x v="188"/>
    <x v="13"/>
    <x v="0"/>
    <x v="0"/>
    <x v="1"/>
    <n v="92"/>
    <n v="133"/>
  </r>
  <r>
    <x v="188"/>
    <x v="10"/>
    <x v="1"/>
    <x v="0"/>
    <x v="0"/>
    <n v="52"/>
    <n v="136"/>
  </r>
  <r>
    <x v="188"/>
    <x v="7"/>
    <x v="1"/>
    <x v="0"/>
    <x v="0"/>
    <n v="96"/>
    <n v="133"/>
  </r>
  <r>
    <x v="188"/>
    <x v="11"/>
    <x v="1"/>
    <x v="0"/>
    <x v="0"/>
    <n v="80"/>
    <n v="140"/>
  </r>
  <r>
    <x v="189"/>
    <x v="8"/>
    <x v="2"/>
    <x v="0"/>
    <x v="2"/>
    <n v="81"/>
    <n v="32"/>
  </r>
  <r>
    <x v="189"/>
    <x v="5"/>
    <x v="0"/>
    <x v="0"/>
    <x v="0"/>
    <n v="56"/>
    <n v="43"/>
  </r>
  <r>
    <x v="189"/>
    <x v="6"/>
    <x v="0"/>
    <x v="0"/>
    <x v="0"/>
    <n v="21"/>
    <n v="97"/>
  </r>
  <r>
    <x v="189"/>
    <x v="7"/>
    <x v="1"/>
    <x v="0"/>
    <x v="1"/>
    <n v="58"/>
    <n v="100"/>
  </r>
  <r>
    <x v="189"/>
    <x v="9"/>
    <x v="2"/>
    <x v="1"/>
    <x v="0"/>
    <n v="35"/>
    <n v="61"/>
  </r>
  <r>
    <x v="189"/>
    <x v="7"/>
    <x v="1"/>
    <x v="0"/>
    <x v="2"/>
    <n v="68"/>
    <n v="44"/>
  </r>
  <r>
    <x v="189"/>
    <x v="6"/>
    <x v="0"/>
    <x v="0"/>
    <x v="2"/>
    <n v="17"/>
    <n v="46"/>
  </r>
  <r>
    <x v="190"/>
    <x v="2"/>
    <x v="0"/>
    <x v="0"/>
    <x v="1"/>
    <n v="54"/>
    <n v="84"/>
  </r>
  <r>
    <x v="190"/>
    <x v="9"/>
    <x v="2"/>
    <x v="1"/>
    <x v="1"/>
    <n v="77"/>
    <n v="122"/>
  </r>
  <r>
    <x v="190"/>
    <x v="13"/>
    <x v="0"/>
    <x v="1"/>
    <x v="0"/>
    <n v="67"/>
    <n v="60"/>
  </r>
  <r>
    <x v="190"/>
    <x v="14"/>
    <x v="2"/>
    <x v="1"/>
    <x v="0"/>
    <n v="71"/>
    <n v="122"/>
  </r>
  <r>
    <x v="190"/>
    <x v="1"/>
    <x v="1"/>
    <x v="0"/>
    <x v="0"/>
    <n v="59"/>
    <n v="73"/>
  </r>
  <r>
    <x v="190"/>
    <x v="8"/>
    <x v="2"/>
    <x v="1"/>
    <x v="1"/>
    <n v="66"/>
    <n v="114"/>
  </r>
  <r>
    <x v="190"/>
    <x v="0"/>
    <x v="0"/>
    <x v="0"/>
    <x v="2"/>
    <n v="51"/>
    <n v="71"/>
  </r>
  <r>
    <x v="190"/>
    <x v="12"/>
    <x v="2"/>
    <x v="0"/>
    <x v="0"/>
    <n v="75"/>
    <n v="46"/>
  </r>
  <r>
    <x v="190"/>
    <x v="2"/>
    <x v="0"/>
    <x v="1"/>
    <x v="2"/>
    <n v="36"/>
    <n v="143"/>
  </r>
  <r>
    <x v="191"/>
    <x v="4"/>
    <x v="1"/>
    <x v="0"/>
    <x v="1"/>
    <n v="73"/>
    <n v="54"/>
  </r>
  <r>
    <x v="191"/>
    <x v="7"/>
    <x v="1"/>
    <x v="1"/>
    <x v="1"/>
    <n v="86"/>
    <n v="150"/>
  </r>
  <r>
    <x v="191"/>
    <x v="5"/>
    <x v="0"/>
    <x v="1"/>
    <x v="0"/>
    <n v="27"/>
    <n v="72"/>
  </r>
  <r>
    <x v="191"/>
    <x v="4"/>
    <x v="1"/>
    <x v="0"/>
    <x v="0"/>
    <n v="19"/>
    <n v="144"/>
  </r>
  <r>
    <x v="191"/>
    <x v="2"/>
    <x v="0"/>
    <x v="0"/>
    <x v="2"/>
    <n v="27"/>
    <n v="129"/>
  </r>
  <r>
    <x v="191"/>
    <x v="0"/>
    <x v="0"/>
    <x v="1"/>
    <x v="0"/>
    <n v="92"/>
    <n v="118"/>
  </r>
  <r>
    <x v="191"/>
    <x v="4"/>
    <x v="1"/>
    <x v="0"/>
    <x v="0"/>
    <n v="50"/>
    <n v="27"/>
  </r>
  <r>
    <x v="191"/>
    <x v="12"/>
    <x v="2"/>
    <x v="0"/>
    <x v="1"/>
    <n v="16"/>
    <n v="101"/>
  </r>
  <r>
    <x v="191"/>
    <x v="8"/>
    <x v="2"/>
    <x v="0"/>
    <x v="2"/>
    <n v="48"/>
    <n v="131"/>
  </r>
  <r>
    <x v="191"/>
    <x v="3"/>
    <x v="2"/>
    <x v="1"/>
    <x v="0"/>
    <n v="17"/>
    <n v="92"/>
  </r>
  <r>
    <x v="192"/>
    <x v="6"/>
    <x v="0"/>
    <x v="1"/>
    <x v="1"/>
    <n v="87"/>
    <n v="58"/>
  </r>
  <r>
    <x v="192"/>
    <x v="14"/>
    <x v="2"/>
    <x v="1"/>
    <x v="1"/>
    <n v="69"/>
    <n v="123"/>
  </r>
  <r>
    <x v="192"/>
    <x v="3"/>
    <x v="2"/>
    <x v="1"/>
    <x v="2"/>
    <n v="51"/>
    <n v="97"/>
  </r>
  <r>
    <x v="192"/>
    <x v="6"/>
    <x v="0"/>
    <x v="0"/>
    <x v="0"/>
    <n v="87"/>
    <n v="82"/>
  </r>
  <r>
    <x v="192"/>
    <x v="0"/>
    <x v="0"/>
    <x v="1"/>
    <x v="1"/>
    <n v="53"/>
    <n v="128"/>
  </r>
  <r>
    <x v="192"/>
    <x v="7"/>
    <x v="1"/>
    <x v="1"/>
    <x v="2"/>
    <n v="75"/>
    <n v="95"/>
  </r>
  <r>
    <x v="192"/>
    <x v="9"/>
    <x v="2"/>
    <x v="0"/>
    <x v="0"/>
    <n v="59"/>
    <n v="125"/>
  </r>
  <r>
    <x v="192"/>
    <x v="10"/>
    <x v="1"/>
    <x v="0"/>
    <x v="0"/>
    <n v="33"/>
    <n v="102"/>
  </r>
  <r>
    <x v="192"/>
    <x v="5"/>
    <x v="0"/>
    <x v="1"/>
    <x v="0"/>
    <n v="47"/>
    <n v="113"/>
  </r>
  <r>
    <x v="192"/>
    <x v="2"/>
    <x v="0"/>
    <x v="1"/>
    <x v="0"/>
    <n v="31"/>
    <n v="139"/>
  </r>
  <r>
    <x v="192"/>
    <x v="14"/>
    <x v="2"/>
    <x v="1"/>
    <x v="1"/>
    <n v="92"/>
    <n v="33"/>
  </r>
  <r>
    <x v="192"/>
    <x v="1"/>
    <x v="1"/>
    <x v="1"/>
    <x v="2"/>
    <n v="57"/>
    <n v="148"/>
  </r>
  <r>
    <x v="193"/>
    <x v="5"/>
    <x v="0"/>
    <x v="0"/>
    <x v="1"/>
    <n v="96"/>
    <n v="49"/>
  </r>
  <r>
    <x v="193"/>
    <x v="4"/>
    <x v="1"/>
    <x v="1"/>
    <x v="2"/>
    <n v="69"/>
    <n v="67"/>
  </r>
  <r>
    <x v="193"/>
    <x v="2"/>
    <x v="0"/>
    <x v="0"/>
    <x v="0"/>
    <n v="67"/>
    <n v="21"/>
  </r>
  <r>
    <x v="193"/>
    <x v="5"/>
    <x v="0"/>
    <x v="0"/>
    <x v="1"/>
    <n v="48"/>
    <n v="37"/>
  </r>
  <r>
    <x v="193"/>
    <x v="8"/>
    <x v="2"/>
    <x v="1"/>
    <x v="1"/>
    <n v="100"/>
    <n v="147"/>
  </r>
  <r>
    <x v="193"/>
    <x v="11"/>
    <x v="1"/>
    <x v="0"/>
    <x v="1"/>
    <n v="99"/>
    <n v="76"/>
  </r>
  <r>
    <x v="194"/>
    <x v="8"/>
    <x v="2"/>
    <x v="1"/>
    <x v="0"/>
    <n v="71"/>
    <n v="115"/>
  </r>
  <r>
    <x v="194"/>
    <x v="1"/>
    <x v="1"/>
    <x v="0"/>
    <x v="0"/>
    <n v="90"/>
    <n v="86"/>
  </r>
  <r>
    <x v="194"/>
    <x v="3"/>
    <x v="2"/>
    <x v="0"/>
    <x v="2"/>
    <n v="16"/>
    <n v="147"/>
  </r>
  <r>
    <x v="194"/>
    <x v="5"/>
    <x v="0"/>
    <x v="1"/>
    <x v="0"/>
    <n v="75"/>
    <n v="134"/>
  </r>
  <r>
    <x v="194"/>
    <x v="6"/>
    <x v="0"/>
    <x v="1"/>
    <x v="1"/>
    <n v="87"/>
    <n v="114"/>
  </r>
  <r>
    <x v="194"/>
    <x v="5"/>
    <x v="0"/>
    <x v="1"/>
    <x v="2"/>
    <n v="70"/>
    <n v="90"/>
  </r>
  <r>
    <x v="194"/>
    <x v="14"/>
    <x v="2"/>
    <x v="0"/>
    <x v="1"/>
    <n v="45"/>
    <n v="28"/>
  </r>
  <r>
    <x v="194"/>
    <x v="14"/>
    <x v="2"/>
    <x v="0"/>
    <x v="0"/>
    <n v="33"/>
    <n v="29"/>
  </r>
  <r>
    <x v="195"/>
    <x v="5"/>
    <x v="0"/>
    <x v="0"/>
    <x v="0"/>
    <n v="89"/>
    <n v="26"/>
  </r>
  <r>
    <x v="195"/>
    <x v="2"/>
    <x v="0"/>
    <x v="0"/>
    <x v="0"/>
    <n v="20"/>
    <n v="114"/>
  </r>
  <r>
    <x v="195"/>
    <x v="11"/>
    <x v="1"/>
    <x v="1"/>
    <x v="1"/>
    <n v="47"/>
    <n v="132"/>
  </r>
  <r>
    <x v="195"/>
    <x v="0"/>
    <x v="0"/>
    <x v="0"/>
    <x v="0"/>
    <n v="49"/>
    <n v="141"/>
  </r>
  <r>
    <x v="195"/>
    <x v="2"/>
    <x v="0"/>
    <x v="1"/>
    <x v="2"/>
    <n v="74"/>
    <n v="109"/>
  </r>
  <r>
    <x v="195"/>
    <x v="5"/>
    <x v="0"/>
    <x v="0"/>
    <x v="1"/>
    <n v="36"/>
    <n v="147"/>
  </r>
  <r>
    <x v="195"/>
    <x v="7"/>
    <x v="1"/>
    <x v="1"/>
    <x v="1"/>
    <n v="30"/>
    <n v="22"/>
  </r>
  <r>
    <x v="196"/>
    <x v="3"/>
    <x v="2"/>
    <x v="0"/>
    <x v="2"/>
    <n v="96"/>
    <n v="136"/>
  </r>
  <r>
    <x v="196"/>
    <x v="2"/>
    <x v="0"/>
    <x v="0"/>
    <x v="0"/>
    <n v="36"/>
    <n v="30"/>
  </r>
  <r>
    <x v="196"/>
    <x v="6"/>
    <x v="0"/>
    <x v="1"/>
    <x v="2"/>
    <n v="29"/>
    <n v="103"/>
  </r>
  <r>
    <x v="196"/>
    <x v="13"/>
    <x v="0"/>
    <x v="1"/>
    <x v="0"/>
    <n v="31"/>
    <n v="32"/>
  </r>
  <r>
    <x v="197"/>
    <x v="8"/>
    <x v="2"/>
    <x v="1"/>
    <x v="0"/>
    <n v="53"/>
    <n v="150"/>
  </r>
  <r>
    <x v="197"/>
    <x v="13"/>
    <x v="0"/>
    <x v="1"/>
    <x v="0"/>
    <n v="39"/>
    <n v="105"/>
  </r>
  <r>
    <x v="197"/>
    <x v="13"/>
    <x v="0"/>
    <x v="0"/>
    <x v="1"/>
    <n v="31"/>
    <n v="91"/>
  </r>
  <r>
    <x v="197"/>
    <x v="12"/>
    <x v="2"/>
    <x v="1"/>
    <x v="0"/>
    <n v="15"/>
    <n v="36"/>
  </r>
  <r>
    <x v="197"/>
    <x v="1"/>
    <x v="1"/>
    <x v="0"/>
    <x v="1"/>
    <n v="97"/>
    <n v="58"/>
  </r>
  <r>
    <x v="197"/>
    <x v="4"/>
    <x v="1"/>
    <x v="0"/>
    <x v="1"/>
    <n v="22"/>
    <n v="51"/>
  </r>
  <r>
    <x v="198"/>
    <x v="8"/>
    <x v="2"/>
    <x v="0"/>
    <x v="0"/>
    <n v="56"/>
    <n v="122"/>
  </r>
  <r>
    <x v="198"/>
    <x v="4"/>
    <x v="1"/>
    <x v="0"/>
    <x v="2"/>
    <n v="16"/>
    <n v="132"/>
  </r>
  <r>
    <x v="198"/>
    <x v="4"/>
    <x v="1"/>
    <x v="0"/>
    <x v="1"/>
    <n v="64"/>
    <n v="86"/>
  </r>
  <r>
    <x v="199"/>
    <x v="7"/>
    <x v="1"/>
    <x v="1"/>
    <x v="2"/>
    <n v="28"/>
    <n v="103"/>
  </r>
  <r>
    <x v="199"/>
    <x v="14"/>
    <x v="2"/>
    <x v="1"/>
    <x v="1"/>
    <n v="68"/>
    <n v="59"/>
  </r>
  <r>
    <x v="199"/>
    <x v="1"/>
    <x v="1"/>
    <x v="0"/>
    <x v="0"/>
    <n v="93"/>
    <n v="40"/>
  </r>
  <r>
    <x v="199"/>
    <x v="2"/>
    <x v="0"/>
    <x v="0"/>
    <x v="1"/>
    <n v="15"/>
    <n v="122"/>
  </r>
  <r>
    <x v="199"/>
    <x v="5"/>
    <x v="0"/>
    <x v="0"/>
    <x v="1"/>
    <n v="21"/>
    <n v="86"/>
  </r>
  <r>
    <x v="199"/>
    <x v="6"/>
    <x v="0"/>
    <x v="0"/>
    <x v="1"/>
    <n v="99"/>
    <n v="126"/>
  </r>
  <r>
    <x v="199"/>
    <x v="12"/>
    <x v="2"/>
    <x v="1"/>
    <x v="1"/>
    <n v="20"/>
    <n v="123"/>
  </r>
  <r>
    <x v="199"/>
    <x v="8"/>
    <x v="2"/>
    <x v="1"/>
    <x v="1"/>
    <n v="57"/>
    <n v="89"/>
  </r>
  <r>
    <x v="199"/>
    <x v="11"/>
    <x v="1"/>
    <x v="0"/>
    <x v="2"/>
    <n v="97"/>
    <n v="146"/>
  </r>
  <r>
    <x v="199"/>
    <x v="14"/>
    <x v="2"/>
    <x v="0"/>
    <x v="2"/>
    <n v="60"/>
    <n v="66"/>
  </r>
  <r>
    <x v="199"/>
    <x v="7"/>
    <x v="1"/>
    <x v="1"/>
    <x v="0"/>
    <n v="54"/>
    <n v="136"/>
  </r>
  <r>
    <x v="199"/>
    <x v="1"/>
    <x v="1"/>
    <x v="0"/>
    <x v="1"/>
    <n v="86"/>
    <n v="63"/>
  </r>
  <r>
    <x v="199"/>
    <x v="6"/>
    <x v="0"/>
    <x v="0"/>
    <x v="1"/>
    <n v="50"/>
    <n v="136"/>
  </r>
  <r>
    <x v="199"/>
    <x v="6"/>
    <x v="0"/>
    <x v="0"/>
    <x v="2"/>
    <n v="34"/>
    <n v="44"/>
  </r>
  <r>
    <x v="200"/>
    <x v="7"/>
    <x v="1"/>
    <x v="1"/>
    <x v="2"/>
    <n v="92"/>
    <n v="47"/>
  </r>
  <r>
    <x v="200"/>
    <x v="10"/>
    <x v="1"/>
    <x v="0"/>
    <x v="1"/>
    <n v="58"/>
    <n v="45"/>
  </r>
  <r>
    <x v="200"/>
    <x v="4"/>
    <x v="1"/>
    <x v="0"/>
    <x v="1"/>
    <n v="39"/>
    <n v="93"/>
  </r>
  <r>
    <x v="200"/>
    <x v="14"/>
    <x v="2"/>
    <x v="1"/>
    <x v="1"/>
    <n v="20"/>
    <n v="104"/>
  </r>
  <r>
    <x v="200"/>
    <x v="7"/>
    <x v="1"/>
    <x v="0"/>
    <x v="1"/>
    <n v="48"/>
    <n v="78"/>
  </r>
  <r>
    <x v="201"/>
    <x v="0"/>
    <x v="0"/>
    <x v="1"/>
    <x v="0"/>
    <n v="67"/>
    <n v="29"/>
  </r>
  <r>
    <x v="201"/>
    <x v="7"/>
    <x v="1"/>
    <x v="0"/>
    <x v="2"/>
    <n v="32"/>
    <n v="83"/>
  </r>
  <r>
    <x v="201"/>
    <x v="8"/>
    <x v="2"/>
    <x v="1"/>
    <x v="1"/>
    <n v="17"/>
    <n v="73"/>
  </r>
  <r>
    <x v="201"/>
    <x v="2"/>
    <x v="0"/>
    <x v="0"/>
    <x v="0"/>
    <n v="28"/>
    <n v="125"/>
  </r>
  <r>
    <x v="201"/>
    <x v="7"/>
    <x v="1"/>
    <x v="1"/>
    <x v="1"/>
    <n v="64"/>
    <n v="77"/>
  </r>
  <r>
    <x v="201"/>
    <x v="4"/>
    <x v="1"/>
    <x v="1"/>
    <x v="2"/>
    <n v="58"/>
    <n v="98"/>
  </r>
  <r>
    <x v="201"/>
    <x v="3"/>
    <x v="2"/>
    <x v="0"/>
    <x v="0"/>
    <n v="13"/>
    <n v="138"/>
  </r>
  <r>
    <x v="201"/>
    <x v="13"/>
    <x v="0"/>
    <x v="0"/>
    <x v="1"/>
    <n v="49"/>
    <n v="61"/>
  </r>
  <r>
    <x v="201"/>
    <x v="9"/>
    <x v="2"/>
    <x v="1"/>
    <x v="2"/>
    <n v="64"/>
    <n v="142"/>
  </r>
  <r>
    <x v="202"/>
    <x v="2"/>
    <x v="0"/>
    <x v="1"/>
    <x v="2"/>
    <n v="96"/>
    <n v="56"/>
  </r>
  <r>
    <x v="202"/>
    <x v="4"/>
    <x v="1"/>
    <x v="0"/>
    <x v="1"/>
    <n v="91"/>
    <n v="107"/>
  </r>
  <r>
    <x v="202"/>
    <x v="10"/>
    <x v="1"/>
    <x v="0"/>
    <x v="1"/>
    <n v="72"/>
    <n v="85"/>
  </r>
  <r>
    <x v="202"/>
    <x v="11"/>
    <x v="1"/>
    <x v="0"/>
    <x v="2"/>
    <n v="48"/>
    <n v="33"/>
  </r>
  <r>
    <x v="202"/>
    <x v="11"/>
    <x v="1"/>
    <x v="0"/>
    <x v="1"/>
    <n v="25"/>
    <n v="70"/>
  </r>
  <r>
    <x v="202"/>
    <x v="4"/>
    <x v="1"/>
    <x v="1"/>
    <x v="2"/>
    <n v="72"/>
    <n v="56"/>
  </r>
  <r>
    <x v="202"/>
    <x v="0"/>
    <x v="0"/>
    <x v="1"/>
    <x v="2"/>
    <n v="86"/>
    <n v="56"/>
  </r>
  <r>
    <x v="202"/>
    <x v="7"/>
    <x v="1"/>
    <x v="1"/>
    <x v="1"/>
    <n v="99"/>
    <n v="100"/>
  </r>
  <r>
    <x v="203"/>
    <x v="7"/>
    <x v="1"/>
    <x v="1"/>
    <x v="1"/>
    <n v="75"/>
    <n v="116"/>
  </r>
  <r>
    <x v="203"/>
    <x v="11"/>
    <x v="1"/>
    <x v="0"/>
    <x v="0"/>
    <n v="91"/>
    <n v="60"/>
  </r>
  <r>
    <x v="203"/>
    <x v="3"/>
    <x v="2"/>
    <x v="0"/>
    <x v="0"/>
    <n v="40"/>
    <n v="95"/>
  </r>
  <r>
    <x v="203"/>
    <x v="8"/>
    <x v="2"/>
    <x v="0"/>
    <x v="1"/>
    <n v="82"/>
    <n v="83"/>
  </r>
  <r>
    <x v="203"/>
    <x v="13"/>
    <x v="0"/>
    <x v="1"/>
    <x v="2"/>
    <n v="42"/>
    <n v="138"/>
  </r>
  <r>
    <x v="203"/>
    <x v="5"/>
    <x v="0"/>
    <x v="0"/>
    <x v="1"/>
    <n v="58"/>
    <n v="97"/>
  </r>
  <r>
    <x v="204"/>
    <x v="12"/>
    <x v="2"/>
    <x v="1"/>
    <x v="1"/>
    <n v="61"/>
    <n v="139"/>
  </r>
  <r>
    <x v="204"/>
    <x v="12"/>
    <x v="2"/>
    <x v="0"/>
    <x v="1"/>
    <n v="87"/>
    <n v="57"/>
  </r>
  <r>
    <x v="204"/>
    <x v="13"/>
    <x v="0"/>
    <x v="0"/>
    <x v="0"/>
    <n v="63"/>
    <n v="100"/>
  </r>
  <r>
    <x v="204"/>
    <x v="1"/>
    <x v="1"/>
    <x v="0"/>
    <x v="1"/>
    <n v="71"/>
    <n v="123"/>
  </r>
  <r>
    <x v="204"/>
    <x v="14"/>
    <x v="2"/>
    <x v="0"/>
    <x v="2"/>
    <n v="61"/>
    <n v="124"/>
  </r>
  <r>
    <x v="204"/>
    <x v="4"/>
    <x v="1"/>
    <x v="0"/>
    <x v="1"/>
    <n v="75"/>
    <n v="138"/>
  </r>
  <r>
    <x v="204"/>
    <x v="10"/>
    <x v="1"/>
    <x v="0"/>
    <x v="2"/>
    <n v="87"/>
    <n v="36"/>
  </r>
  <r>
    <x v="205"/>
    <x v="7"/>
    <x v="1"/>
    <x v="1"/>
    <x v="0"/>
    <n v="22"/>
    <n v="117"/>
  </r>
  <r>
    <x v="205"/>
    <x v="12"/>
    <x v="2"/>
    <x v="0"/>
    <x v="2"/>
    <n v="58"/>
    <n v="26"/>
  </r>
  <r>
    <x v="205"/>
    <x v="1"/>
    <x v="1"/>
    <x v="0"/>
    <x v="2"/>
    <n v="75"/>
    <n v="71"/>
  </r>
  <r>
    <x v="205"/>
    <x v="5"/>
    <x v="0"/>
    <x v="0"/>
    <x v="2"/>
    <n v="85"/>
    <n v="110"/>
  </r>
  <r>
    <x v="205"/>
    <x v="13"/>
    <x v="0"/>
    <x v="1"/>
    <x v="2"/>
    <n v="24"/>
    <n v="42"/>
  </r>
  <r>
    <x v="205"/>
    <x v="4"/>
    <x v="1"/>
    <x v="1"/>
    <x v="2"/>
    <n v="46"/>
    <n v="42"/>
  </r>
  <r>
    <x v="205"/>
    <x v="12"/>
    <x v="2"/>
    <x v="1"/>
    <x v="2"/>
    <n v="93"/>
    <n v="56"/>
  </r>
  <r>
    <x v="205"/>
    <x v="1"/>
    <x v="1"/>
    <x v="0"/>
    <x v="2"/>
    <n v="91"/>
    <n v="131"/>
  </r>
  <r>
    <x v="205"/>
    <x v="13"/>
    <x v="0"/>
    <x v="1"/>
    <x v="1"/>
    <n v="54"/>
    <n v="90"/>
  </r>
  <r>
    <x v="206"/>
    <x v="8"/>
    <x v="2"/>
    <x v="0"/>
    <x v="2"/>
    <n v="26"/>
    <n v="117"/>
  </r>
  <r>
    <x v="206"/>
    <x v="8"/>
    <x v="2"/>
    <x v="1"/>
    <x v="1"/>
    <n v="93"/>
    <n v="74"/>
  </r>
  <r>
    <x v="206"/>
    <x v="1"/>
    <x v="1"/>
    <x v="0"/>
    <x v="2"/>
    <n v="69"/>
    <n v="129"/>
  </r>
  <r>
    <x v="206"/>
    <x v="13"/>
    <x v="0"/>
    <x v="1"/>
    <x v="1"/>
    <n v="14"/>
    <n v="115"/>
  </r>
  <r>
    <x v="206"/>
    <x v="9"/>
    <x v="2"/>
    <x v="1"/>
    <x v="0"/>
    <n v="54"/>
    <n v="112"/>
  </r>
  <r>
    <x v="206"/>
    <x v="8"/>
    <x v="2"/>
    <x v="1"/>
    <x v="0"/>
    <n v="35"/>
    <n v="69"/>
  </r>
  <r>
    <x v="206"/>
    <x v="1"/>
    <x v="1"/>
    <x v="1"/>
    <x v="2"/>
    <n v="98"/>
    <n v="48"/>
  </r>
  <r>
    <x v="206"/>
    <x v="5"/>
    <x v="0"/>
    <x v="0"/>
    <x v="0"/>
    <n v="100"/>
    <n v="66"/>
  </r>
  <r>
    <x v="207"/>
    <x v="5"/>
    <x v="0"/>
    <x v="0"/>
    <x v="1"/>
    <n v="66"/>
    <n v="86"/>
  </r>
  <r>
    <x v="207"/>
    <x v="10"/>
    <x v="1"/>
    <x v="0"/>
    <x v="0"/>
    <n v="10"/>
    <n v="20"/>
  </r>
  <r>
    <x v="207"/>
    <x v="5"/>
    <x v="0"/>
    <x v="1"/>
    <x v="0"/>
    <n v="83"/>
    <n v="84"/>
  </r>
  <r>
    <x v="207"/>
    <x v="11"/>
    <x v="1"/>
    <x v="1"/>
    <x v="1"/>
    <n v="59"/>
    <n v="107"/>
  </r>
  <r>
    <x v="207"/>
    <x v="4"/>
    <x v="1"/>
    <x v="1"/>
    <x v="0"/>
    <n v="45"/>
    <n v="66"/>
  </r>
  <r>
    <x v="207"/>
    <x v="6"/>
    <x v="0"/>
    <x v="1"/>
    <x v="1"/>
    <n v="96"/>
    <n v="50"/>
  </r>
  <r>
    <x v="207"/>
    <x v="3"/>
    <x v="2"/>
    <x v="0"/>
    <x v="0"/>
    <n v="35"/>
    <n v="28"/>
  </r>
  <r>
    <x v="208"/>
    <x v="9"/>
    <x v="2"/>
    <x v="1"/>
    <x v="0"/>
    <n v="19"/>
    <n v="79"/>
  </r>
  <r>
    <x v="208"/>
    <x v="13"/>
    <x v="0"/>
    <x v="1"/>
    <x v="0"/>
    <n v="22"/>
    <n v="101"/>
  </r>
  <r>
    <x v="208"/>
    <x v="8"/>
    <x v="2"/>
    <x v="0"/>
    <x v="1"/>
    <n v="65"/>
    <n v="20"/>
  </r>
  <r>
    <x v="208"/>
    <x v="14"/>
    <x v="2"/>
    <x v="0"/>
    <x v="2"/>
    <n v="98"/>
    <n v="111"/>
  </r>
  <r>
    <x v="208"/>
    <x v="13"/>
    <x v="0"/>
    <x v="1"/>
    <x v="1"/>
    <n v="55"/>
    <n v="133"/>
  </r>
  <r>
    <x v="208"/>
    <x v="9"/>
    <x v="2"/>
    <x v="1"/>
    <x v="1"/>
    <n v="58"/>
    <n v="143"/>
  </r>
  <r>
    <x v="208"/>
    <x v="8"/>
    <x v="2"/>
    <x v="0"/>
    <x v="1"/>
    <n v="23"/>
    <n v="63"/>
  </r>
  <r>
    <x v="208"/>
    <x v="5"/>
    <x v="0"/>
    <x v="1"/>
    <x v="1"/>
    <n v="33"/>
    <n v="113"/>
  </r>
  <r>
    <x v="208"/>
    <x v="3"/>
    <x v="2"/>
    <x v="1"/>
    <x v="0"/>
    <n v="84"/>
    <n v="135"/>
  </r>
  <r>
    <x v="208"/>
    <x v="9"/>
    <x v="2"/>
    <x v="1"/>
    <x v="1"/>
    <n v="75"/>
    <n v="48"/>
  </r>
  <r>
    <x v="209"/>
    <x v="6"/>
    <x v="0"/>
    <x v="0"/>
    <x v="0"/>
    <n v="20"/>
    <n v="69"/>
  </r>
  <r>
    <x v="209"/>
    <x v="11"/>
    <x v="1"/>
    <x v="0"/>
    <x v="0"/>
    <n v="80"/>
    <n v="84"/>
  </r>
  <r>
    <x v="209"/>
    <x v="7"/>
    <x v="1"/>
    <x v="1"/>
    <x v="1"/>
    <n v="60"/>
    <n v="105"/>
  </r>
  <r>
    <x v="209"/>
    <x v="6"/>
    <x v="0"/>
    <x v="0"/>
    <x v="2"/>
    <n v="76"/>
    <n v="140"/>
  </r>
  <r>
    <x v="209"/>
    <x v="12"/>
    <x v="2"/>
    <x v="0"/>
    <x v="1"/>
    <n v="79"/>
    <n v="132"/>
  </r>
  <r>
    <x v="210"/>
    <x v="12"/>
    <x v="2"/>
    <x v="0"/>
    <x v="0"/>
    <n v="96"/>
    <n v="124"/>
  </r>
  <r>
    <x v="210"/>
    <x v="1"/>
    <x v="1"/>
    <x v="0"/>
    <x v="2"/>
    <n v="40"/>
    <n v="149"/>
  </r>
  <r>
    <x v="210"/>
    <x v="2"/>
    <x v="0"/>
    <x v="1"/>
    <x v="1"/>
    <n v="30"/>
    <n v="141"/>
  </r>
  <r>
    <x v="210"/>
    <x v="14"/>
    <x v="2"/>
    <x v="1"/>
    <x v="0"/>
    <n v="58"/>
    <n v="75"/>
  </r>
  <r>
    <x v="210"/>
    <x v="9"/>
    <x v="2"/>
    <x v="1"/>
    <x v="2"/>
    <n v="15"/>
    <n v="22"/>
  </r>
  <r>
    <x v="210"/>
    <x v="13"/>
    <x v="0"/>
    <x v="0"/>
    <x v="1"/>
    <n v="54"/>
    <n v="81"/>
  </r>
  <r>
    <x v="210"/>
    <x v="2"/>
    <x v="0"/>
    <x v="1"/>
    <x v="0"/>
    <n v="16"/>
    <n v="115"/>
  </r>
  <r>
    <x v="210"/>
    <x v="5"/>
    <x v="0"/>
    <x v="0"/>
    <x v="1"/>
    <n v="12"/>
    <n v="51"/>
  </r>
  <r>
    <x v="210"/>
    <x v="9"/>
    <x v="2"/>
    <x v="0"/>
    <x v="1"/>
    <n v="38"/>
    <n v="59"/>
  </r>
  <r>
    <x v="211"/>
    <x v="0"/>
    <x v="0"/>
    <x v="1"/>
    <x v="2"/>
    <n v="36"/>
    <n v="63"/>
  </r>
  <r>
    <x v="211"/>
    <x v="6"/>
    <x v="0"/>
    <x v="1"/>
    <x v="1"/>
    <n v="28"/>
    <n v="109"/>
  </r>
  <r>
    <x v="211"/>
    <x v="11"/>
    <x v="1"/>
    <x v="1"/>
    <x v="0"/>
    <n v="32"/>
    <n v="82"/>
  </r>
  <r>
    <x v="211"/>
    <x v="9"/>
    <x v="2"/>
    <x v="0"/>
    <x v="1"/>
    <n v="33"/>
    <n v="43"/>
  </r>
  <r>
    <x v="211"/>
    <x v="13"/>
    <x v="0"/>
    <x v="1"/>
    <x v="0"/>
    <n v="39"/>
    <n v="99"/>
  </r>
  <r>
    <x v="212"/>
    <x v="10"/>
    <x v="1"/>
    <x v="1"/>
    <x v="0"/>
    <n v="29"/>
    <n v="40"/>
  </r>
  <r>
    <x v="212"/>
    <x v="12"/>
    <x v="2"/>
    <x v="1"/>
    <x v="0"/>
    <n v="56"/>
    <n v="52"/>
  </r>
  <r>
    <x v="212"/>
    <x v="4"/>
    <x v="1"/>
    <x v="0"/>
    <x v="2"/>
    <n v="80"/>
    <n v="43"/>
  </r>
  <r>
    <x v="212"/>
    <x v="10"/>
    <x v="1"/>
    <x v="0"/>
    <x v="2"/>
    <n v="67"/>
    <n v="79"/>
  </r>
  <r>
    <x v="212"/>
    <x v="7"/>
    <x v="1"/>
    <x v="1"/>
    <x v="1"/>
    <n v="58"/>
    <n v="79"/>
  </r>
  <r>
    <x v="212"/>
    <x v="12"/>
    <x v="2"/>
    <x v="1"/>
    <x v="1"/>
    <n v="31"/>
    <n v="56"/>
  </r>
  <r>
    <x v="212"/>
    <x v="8"/>
    <x v="2"/>
    <x v="1"/>
    <x v="0"/>
    <n v="81"/>
    <n v="57"/>
  </r>
  <r>
    <x v="212"/>
    <x v="7"/>
    <x v="1"/>
    <x v="1"/>
    <x v="1"/>
    <n v="18"/>
    <n v="142"/>
  </r>
  <r>
    <x v="212"/>
    <x v="10"/>
    <x v="1"/>
    <x v="0"/>
    <x v="0"/>
    <n v="87"/>
    <n v="90"/>
  </r>
  <r>
    <x v="212"/>
    <x v="10"/>
    <x v="1"/>
    <x v="1"/>
    <x v="0"/>
    <n v="52"/>
    <n v="58"/>
  </r>
  <r>
    <x v="212"/>
    <x v="2"/>
    <x v="0"/>
    <x v="0"/>
    <x v="2"/>
    <n v="43"/>
    <n v="46"/>
  </r>
  <r>
    <x v="212"/>
    <x v="12"/>
    <x v="2"/>
    <x v="0"/>
    <x v="2"/>
    <n v="11"/>
    <n v="50"/>
  </r>
  <r>
    <x v="213"/>
    <x v="9"/>
    <x v="2"/>
    <x v="0"/>
    <x v="1"/>
    <n v="14"/>
    <n v="110"/>
  </r>
  <r>
    <x v="213"/>
    <x v="10"/>
    <x v="1"/>
    <x v="1"/>
    <x v="0"/>
    <n v="26"/>
    <n v="52"/>
  </r>
  <r>
    <x v="213"/>
    <x v="7"/>
    <x v="1"/>
    <x v="0"/>
    <x v="1"/>
    <n v="95"/>
    <n v="65"/>
  </r>
  <r>
    <x v="213"/>
    <x v="13"/>
    <x v="0"/>
    <x v="1"/>
    <x v="0"/>
    <n v="75"/>
    <n v="91"/>
  </r>
  <r>
    <x v="213"/>
    <x v="9"/>
    <x v="2"/>
    <x v="0"/>
    <x v="1"/>
    <n v="86"/>
    <n v="77"/>
  </r>
  <r>
    <x v="213"/>
    <x v="7"/>
    <x v="1"/>
    <x v="0"/>
    <x v="0"/>
    <n v="15"/>
    <n v="37"/>
  </r>
  <r>
    <x v="213"/>
    <x v="9"/>
    <x v="2"/>
    <x v="0"/>
    <x v="1"/>
    <n v="67"/>
    <n v="119"/>
  </r>
  <r>
    <x v="213"/>
    <x v="8"/>
    <x v="2"/>
    <x v="0"/>
    <x v="0"/>
    <n v="40"/>
    <n v="150"/>
  </r>
  <r>
    <x v="213"/>
    <x v="3"/>
    <x v="2"/>
    <x v="1"/>
    <x v="2"/>
    <n v="33"/>
    <n v="76"/>
  </r>
  <r>
    <x v="213"/>
    <x v="14"/>
    <x v="2"/>
    <x v="0"/>
    <x v="0"/>
    <n v="94"/>
    <n v="114"/>
  </r>
  <r>
    <x v="214"/>
    <x v="7"/>
    <x v="1"/>
    <x v="1"/>
    <x v="0"/>
    <n v="22"/>
    <n v="89"/>
  </r>
  <r>
    <x v="214"/>
    <x v="4"/>
    <x v="1"/>
    <x v="0"/>
    <x v="1"/>
    <n v="25"/>
    <n v="97"/>
  </r>
  <r>
    <x v="214"/>
    <x v="11"/>
    <x v="1"/>
    <x v="1"/>
    <x v="2"/>
    <n v="16"/>
    <n v="85"/>
  </r>
  <r>
    <x v="214"/>
    <x v="14"/>
    <x v="2"/>
    <x v="0"/>
    <x v="0"/>
    <n v="38"/>
    <n v="55"/>
  </r>
  <r>
    <x v="214"/>
    <x v="9"/>
    <x v="2"/>
    <x v="0"/>
    <x v="2"/>
    <n v="64"/>
    <n v="147"/>
  </r>
  <r>
    <x v="214"/>
    <x v="12"/>
    <x v="2"/>
    <x v="1"/>
    <x v="0"/>
    <n v="34"/>
    <n v="130"/>
  </r>
  <r>
    <x v="214"/>
    <x v="1"/>
    <x v="1"/>
    <x v="1"/>
    <x v="2"/>
    <n v="29"/>
    <n v="62"/>
  </r>
  <r>
    <x v="214"/>
    <x v="0"/>
    <x v="0"/>
    <x v="0"/>
    <x v="0"/>
    <n v="56"/>
    <n v="135"/>
  </r>
  <r>
    <x v="215"/>
    <x v="3"/>
    <x v="2"/>
    <x v="1"/>
    <x v="0"/>
    <n v="85"/>
    <n v="20"/>
  </r>
  <r>
    <x v="215"/>
    <x v="12"/>
    <x v="2"/>
    <x v="1"/>
    <x v="2"/>
    <n v="13"/>
    <n v="20"/>
  </r>
  <r>
    <x v="215"/>
    <x v="9"/>
    <x v="2"/>
    <x v="1"/>
    <x v="0"/>
    <n v="82"/>
    <n v="78"/>
  </r>
  <r>
    <x v="215"/>
    <x v="11"/>
    <x v="1"/>
    <x v="0"/>
    <x v="0"/>
    <n v="98"/>
    <n v="92"/>
  </r>
  <r>
    <x v="215"/>
    <x v="8"/>
    <x v="2"/>
    <x v="0"/>
    <x v="0"/>
    <n v="86"/>
    <n v="85"/>
  </r>
  <r>
    <x v="215"/>
    <x v="10"/>
    <x v="1"/>
    <x v="1"/>
    <x v="1"/>
    <n v="92"/>
    <n v="29"/>
  </r>
  <r>
    <x v="215"/>
    <x v="7"/>
    <x v="1"/>
    <x v="1"/>
    <x v="1"/>
    <n v="92"/>
    <n v="137"/>
  </r>
  <r>
    <x v="215"/>
    <x v="14"/>
    <x v="2"/>
    <x v="1"/>
    <x v="0"/>
    <n v="63"/>
    <n v="119"/>
  </r>
  <r>
    <x v="215"/>
    <x v="7"/>
    <x v="1"/>
    <x v="0"/>
    <x v="2"/>
    <n v="21"/>
    <n v="118"/>
  </r>
  <r>
    <x v="215"/>
    <x v="10"/>
    <x v="1"/>
    <x v="1"/>
    <x v="2"/>
    <n v="15"/>
    <n v="81"/>
  </r>
  <r>
    <x v="215"/>
    <x v="13"/>
    <x v="0"/>
    <x v="0"/>
    <x v="2"/>
    <n v="53"/>
    <n v="54"/>
  </r>
  <r>
    <x v="215"/>
    <x v="2"/>
    <x v="0"/>
    <x v="1"/>
    <x v="2"/>
    <n v="16"/>
    <n v="103"/>
  </r>
  <r>
    <x v="215"/>
    <x v="4"/>
    <x v="1"/>
    <x v="0"/>
    <x v="1"/>
    <n v="82"/>
    <n v="62"/>
  </r>
  <r>
    <x v="216"/>
    <x v="9"/>
    <x v="2"/>
    <x v="0"/>
    <x v="2"/>
    <n v="74"/>
    <n v="110"/>
  </r>
  <r>
    <x v="216"/>
    <x v="7"/>
    <x v="1"/>
    <x v="0"/>
    <x v="1"/>
    <n v="61"/>
    <n v="49"/>
  </r>
  <r>
    <x v="216"/>
    <x v="13"/>
    <x v="0"/>
    <x v="1"/>
    <x v="1"/>
    <n v="58"/>
    <n v="61"/>
  </r>
  <r>
    <x v="216"/>
    <x v="7"/>
    <x v="1"/>
    <x v="1"/>
    <x v="2"/>
    <n v="72"/>
    <n v="102"/>
  </r>
  <r>
    <x v="216"/>
    <x v="14"/>
    <x v="2"/>
    <x v="1"/>
    <x v="2"/>
    <n v="63"/>
    <n v="40"/>
  </r>
  <r>
    <x v="216"/>
    <x v="11"/>
    <x v="1"/>
    <x v="0"/>
    <x v="0"/>
    <n v="78"/>
    <n v="141"/>
  </r>
  <r>
    <x v="216"/>
    <x v="2"/>
    <x v="0"/>
    <x v="1"/>
    <x v="0"/>
    <n v="41"/>
    <n v="141"/>
  </r>
  <r>
    <x v="216"/>
    <x v="5"/>
    <x v="0"/>
    <x v="1"/>
    <x v="1"/>
    <n v="16"/>
    <n v="75"/>
  </r>
  <r>
    <x v="216"/>
    <x v="11"/>
    <x v="1"/>
    <x v="0"/>
    <x v="0"/>
    <n v="10"/>
    <n v="142"/>
  </r>
  <r>
    <x v="216"/>
    <x v="8"/>
    <x v="2"/>
    <x v="1"/>
    <x v="1"/>
    <n v="71"/>
    <n v="67"/>
  </r>
  <r>
    <x v="216"/>
    <x v="0"/>
    <x v="0"/>
    <x v="0"/>
    <x v="1"/>
    <n v="26"/>
    <n v="50"/>
  </r>
  <r>
    <x v="217"/>
    <x v="4"/>
    <x v="1"/>
    <x v="0"/>
    <x v="2"/>
    <n v="27"/>
    <n v="56"/>
  </r>
  <r>
    <x v="217"/>
    <x v="2"/>
    <x v="0"/>
    <x v="1"/>
    <x v="0"/>
    <n v="70"/>
    <n v="97"/>
  </r>
  <r>
    <x v="217"/>
    <x v="11"/>
    <x v="1"/>
    <x v="1"/>
    <x v="0"/>
    <n v="77"/>
    <n v="76"/>
  </r>
  <r>
    <x v="218"/>
    <x v="0"/>
    <x v="0"/>
    <x v="1"/>
    <x v="2"/>
    <n v="48"/>
    <n v="72"/>
  </r>
  <r>
    <x v="218"/>
    <x v="0"/>
    <x v="0"/>
    <x v="0"/>
    <x v="0"/>
    <n v="34"/>
    <n v="24"/>
  </r>
  <r>
    <x v="218"/>
    <x v="3"/>
    <x v="2"/>
    <x v="1"/>
    <x v="2"/>
    <n v="52"/>
    <n v="103"/>
  </r>
  <r>
    <x v="218"/>
    <x v="9"/>
    <x v="2"/>
    <x v="1"/>
    <x v="1"/>
    <n v="32"/>
    <n v="34"/>
  </r>
  <r>
    <x v="218"/>
    <x v="12"/>
    <x v="2"/>
    <x v="1"/>
    <x v="1"/>
    <n v="18"/>
    <n v="76"/>
  </r>
  <r>
    <x v="219"/>
    <x v="8"/>
    <x v="2"/>
    <x v="1"/>
    <x v="0"/>
    <n v="67"/>
    <n v="20"/>
  </r>
  <r>
    <x v="219"/>
    <x v="2"/>
    <x v="0"/>
    <x v="0"/>
    <x v="2"/>
    <n v="100"/>
    <n v="92"/>
  </r>
  <r>
    <x v="219"/>
    <x v="2"/>
    <x v="0"/>
    <x v="1"/>
    <x v="2"/>
    <n v="27"/>
    <n v="107"/>
  </r>
  <r>
    <x v="220"/>
    <x v="0"/>
    <x v="0"/>
    <x v="1"/>
    <x v="1"/>
    <n v="49"/>
    <n v="20"/>
  </r>
  <r>
    <x v="220"/>
    <x v="13"/>
    <x v="0"/>
    <x v="0"/>
    <x v="1"/>
    <n v="42"/>
    <n v="58"/>
  </r>
  <r>
    <x v="220"/>
    <x v="6"/>
    <x v="0"/>
    <x v="0"/>
    <x v="1"/>
    <n v="52"/>
    <n v="138"/>
  </r>
  <r>
    <x v="220"/>
    <x v="14"/>
    <x v="2"/>
    <x v="0"/>
    <x v="2"/>
    <n v="11"/>
    <n v="100"/>
  </r>
  <r>
    <x v="220"/>
    <x v="9"/>
    <x v="2"/>
    <x v="1"/>
    <x v="0"/>
    <n v="23"/>
    <n v="135"/>
  </r>
  <r>
    <x v="221"/>
    <x v="1"/>
    <x v="1"/>
    <x v="1"/>
    <x v="1"/>
    <n v="63"/>
    <n v="87"/>
  </r>
  <r>
    <x v="221"/>
    <x v="2"/>
    <x v="0"/>
    <x v="0"/>
    <x v="0"/>
    <n v="38"/>
    <n v="128"/>
  </r>
  <r>
    <x v="221"/>
    <x v="2"/>
    <x v="0"/>
    <x v="0"/>
    <x v="0"/>
    <n v="49"/>
    <n v="132"/>
  </r>
  <r>
    <x v="221"/>
    <x v="7"/>
    <x v="1"/>
    <x v="1"/>
    <x v="2"/>
    <n v="52"/>
    <n v="126"/>
  </r>
  <r>
    <x v="221"/>
    <x v="9"/>
    <x v="2"/>
    <x v="0"/>
    <x v="2"/>
    <n v="81"/>
    <n v="98"/>
  </r>
  <r>
    <x v="221"/>
    <x v="11"/>
    <x v="1"/>
    <x v="1"/>
    <x v="1"/>
    <n v="39"/>
    <n v="20"/>
  </r>
  <r>
    <x v="221"/>
    <x v="12"/>
    <x v="2"/>
    <x v="0"/>
    <x v="2"/>
    <n v="46"/>
    <n v="146"/>
  </r>
  <r>
    <x v="221"/>
    <x v="0"/>
    <x v="0"/>
    <x v="0"/>
    <x v="2"/>
    <n v="44"/>
    <n v="61"/>
  </r>
  <r>
    <x v="221"/>
    <x v="3"/>
    <x v="2"/>
    <x v="0"/>
    <x v="1"/>
    <n v="23"/>
    <n v="38"/>
  </r>
  <r>
    <x v="221"/>
    <x v="12"/>
    <x v="2"/>
    <x v="0"/>
    <x v="1"/>
    <n v="65"/>
    <n v="96"/>
  </r>
  <r>
    <x v="221"/>
    <x v="8"/>
    <x v="2"/>
    <x v="0"/>
    <x v="1"/>
    <n v="93"/>
    <n v="82"/>
  </r>
  <r>
    <x v="222"/>
    <x v="1"/>
    <x v="1"/>
    <x v="0"/>
    <x v="2"/>
    <n v="59"/>
    <n v="87"/>
  </r>
  <r>
    <x v="222"/>
    <x v="8"/>
    <x v="2"/>
    <x v="1"/>
    <x v="2"/>
    <n v="83"/>
    <n v="25"/>
  </r>
  <r>
    <x v="222"/>
    <x v="3"/>
    <x v="2"/>
    <x v="0"/>
    <x v="1"/>
    <n v="10"/>
    <n v="116"/>
  </r>
  <r>
    <x v="222"/>
    <x v="11"/>
    <x v="1"/>
    <x v="1"/>
    <x v="2"/>
    <n v="61"/>
    <n v="44"/>
  </r>
  <r>
    <x v="222"/>
    <x v="0"/>
    <x v="0"/>
    <x v="0"/>
    <x v="2"/>
    <n v="54"/>
    <n v="119"/>
  </r>
  <r>
    <x v="222"/>
    <x v="13"/>
    <x v="0"/>
    <x v="0"/>
    <x v="0"/>
    <n v="60"/>
    <n v="150"/>
  </r>
  <r>
    <x v="223"/>
    <x v="4"/>
    <x v="1"/>
    <x v="0"/>
    <x v="1"/>
    <n v="18"/>
    <n v="142"/>
  </r>
  <r>
    <x v="223"/>
    <x v="13"/>
    <x v="0"/>
    <x v="0"/>
    <x v="2"/>
    <n v="42"/>
    <n v="78"/>
  </r>
  <r>
    <x v="223"/>
    <x v="12"/>
    <x v="2"/>
    <x v="1"/>
    <x v="0"/>
    <n v="52"/>
    <n v="104"/>
  </r>
  <r>
    <x v="223"/>
    <x v="6"/>
    <x v="0"/>
    <x v="0"/>
    <x v="1"/>
    <n v="70"/>
    <n v="122"/>
  </r>
  <r>
    <x v="223"/>
    <x v="8"/>
    <x v="2"/>
    <x v="0"/>
    <x v="2"/>
    <n v="23"/>
    <n v="121"/>
  </r>
  <r>
    <x v="224"/>
    <x v="0"/>
    <x v="0"/>
    <x v="0"/>
    <x v="1"/>
    <n v="94"/>
    <n v="79"/>
  </r>
  <r>
    <x v="224"/>
    <x v="9"/>
    <x v="2"/>
    <x v="1"/>
    <x v="2"/>
    <n v="29"/>
    <n v="70"/>
  </r>
  <r>
    <x v="224"/>
    <x v="14"/>
    <x v="2"/>
    <x v="1"/>
    <x v="1"/>
    <n v="30"/>
    <n v="145"/>
  </r>
  <r>
    <x v="225"/>
    <x v="7"/>
    <x v="1"/>
    <x v="0"/>
    <x v="1"/>
    <n v="13"/>
    <n v="133"/>
  </r>
  <r>
    <x v="225"/>
    <x v="3"/>
    <x v="2"/>
    <x v="1"/>
    <x v="0"/>
    <n v="80"/>
    <n v="69"/>
  </r>
  <r>
    <x v="225"/>
    <x v="6"/>
    <x v="0"/>
    <x v="1"/>
    <x v="2"/>
    <n v="64"/>
    <n v="115"/>
  </r>
  <r>
    <x v="225"/>
    <x v="4"/>
    <x v="1"/>
    <x v="1"/>
    <x v="0"/>
    <n v="18"/>
    <n v="76"/>
  </r>
  <r>
    <x v="225"/>
    <x v="8"/>
    <x v="2"/>
    <x v="0"/>
    <x v="1"/>
    <n v="92"/>
    <n v="88"/>
  </r>
  <r>
    <x v="225"/>
    <x v="4"/>
    <x v="1"/>
    <x v="0"/>
    <x v="1"/>
    <n v="72"/>
    <n v="146"/>
  </r>
  <r>
    <x v="225"/>
    <x v="5"/>
    <x v="0"/>
    <x v="1"/>
    <x v="1"/>
    <n v="62"/>
    <n v="61"/>
  </r>
  <r>
    <x v="225"/>
    <x v="0"/>
    <x v="0"/>
    <x v="1"/>
    <x v="2"/>
    <n v="69"/>
    <n v="45"/>
  </r>
  <r>
    <x v="225"/>
    <x v="7"/>
    <x v="1"/>
    <x v="0"/>
    <x v="1"/>
    <n v="56"/>
    <n v="62"/>
  </r>
  <r>
    <x v="225"/>
    <x v="9"/>
    <x v="2"/>
    <x v="0"/>
    <x v="2"/>
    <n v="75"/>
    <n v="106"/>
  </r>
  <r>
    <x v="225"/>
    <x v="6"/>
    <x v="0"/>
    <x v="0"/>
    <x v="1"/>
    <n v="45"/>
    <n v="124"/>
  </r>
  <r>
    <x v="225"/>
    <x v="13"/>
    <x v="0"/>
    <x v="1"/>
    <x v="1"/>
    <n v="60"/>
    <n v="44"/>
  </r>
  <r>
    <x v="226"/>
    <x v="4"/>
    <x v="1"/>
    <x v="1"/>
    <x v="0"/>
    <n v="41"/>
    <n v="57"/>
  </r>
  <r>
    <x v="226"/>
    <x v="4"/>
    <x v="1"/>
    <x v="1"/>
    <x v="0"/>
    <n v="48"/>
    <n v="72"/>
  </r>
  <r>
    <x v="226"/>
    <x v="7"/>
    <x v="1"/>
    <x v="1"/>
    <x v="2"/>
    <n v="92"/>
    <n v="33"/>
  </r>
  <r>
    <x v="226"/>
    <x v="1"/>
    <x v="1"/>
    <x v="1"/>
    <x v="0"/>
    <n v="58"/>
    <n v="88"/>
  </r>
  <r>
    <x v="226"/>
    <x v="6"/>
    <x v="0"/>
    <x v="1"/>
    <x v="1"/>
    <n v="88"/>
    <n v="30"/>
  </r>
  <r>
    <x v="226"/>
    <x v="10"/>
    <x v="1"/>
    <x v="0"/>
    <x v="0"/>
    <n v="50"/>
    <n v="75"/>
  </r>
  <r>
    <x v="226"/>
    <x v="11"/>
    <x v="1"/>
    <x v="0"/>
    <x v="2"/>
    <n v="10"/>
    <n v="76"/>
  </r>
  <r>
    <x v="227"/>
    <x v="5"/>
    <x v="0"/>
    <x v="0"/>
    <x v="0"/>
    <n v="80"/>
    <n v="150"/>
  </r>
  <r>
    <x v="227"/>
    <x v="9"/>
    <x v="2"/>
    <x v="0"/>
    <x v="2"/>
    <n v="39"/>
    <n v="42"/>
  </r>
  <r>
    <x v="227"/>
    <x v="4"/>
    <x v="1"/>
    <x v="1"/>
    <x v="2"/>
    <n v="31"/>
    <n v="42"/>
  </r>
  <r>
    <x v="227"/>
    <x v="14"/>
    <x v="2"/>
    <x v="1"/>
    <x v="2"/>
    <n v="43"/>
    <n v="87"/>
  </r>
  <r>
    <x v="228"/>
    <x v="5"/>
    <x v="0"/>
    <x v="1"/>
    <x v="0"/>
    <n v="39"/>
    <n v="79"/>
  </r>
  <r>
    <x v="228"/>
    <x v="7"/>
    <x v="1"/>
    <x v="1"/>
    <x v="0"/>
    <n v="29"/>
    <n v="75"/>
  </r>
  <r>
    <x v="228"/>
    <x v="8"/>
    <x v="2"/>
    <x v="0"/>
    <x v="2"/>
    <n v="27"/>
    <n v="38"/>
  </r>
  <r>
    <x v="228"/>
    <x v="4"/>
    <x v="1"/>
    <x v="1"/>
    <x v="2"/>
    <n v="21"/>
    <n v="128"/>
  </r>
  <r>
    <x v="228"/>
    <x v="14"/>
    <x v="2"/>
    <x v="1"/>
    <x v="0"/>
    <n v="25"/>
    <n v="96"/>
  </r>
  <r>
    <x v="228"/>
    <x v="2"/>
    <x v="0"/>
    <x v="0"/>
    <x v="1"/>
    <n v="98"/>
    <n v="76"/>
  </r>
  <r>
    <x v="228"/>
    <x v="6"/>
    <x v="0"/>
    <x v="1"/>
    <x v="0"/>
    <n v="47"/>
    <n v="120"/>
  </r>
  <r>
    <x v="228"/>
    <x v="4"/>
    <x v="1"/>
    <x v="1"/>
    <x v="1"/>
    <n v="89"/>
    <n v="64"/>
  </r>
  <r>
    <x v="229"/>
    <x v="3"/>
    <x v="2"/>
    <x v="0"/>
    <x v="1"/>
    <n v="89"/>
    <n v="96"/>
  </r>
  <r>
    <x v="229"/>
    <x v="5"/>
    <x v="0"/>
    <x v="0"/>
    <x v="1"/>
    <n v="43"/>
    <n v="35"/>
  </r>
  <r>
    <x v="229"/>
    <x v="12"/>
    <x v="2"/>
    <x v="1"/>
    <x v="1"/>
    <n v="64"/>
    <n v="142"/>
  </r>
  <r>
    <x v="229"/>
    <x v="1"/>
    <x v="1"/>
    <x v="0"/>
    <x v="0"/>
    <n v="79"/>
    <n v="146"/>
  </r>
  <r>
    <x v="229"/>
    <x v="7"/>
    <x v="1"/>
    <x v="1"/>
    <x v="2"/>
    <n v="75"/>
    <n v="127"/>
  </r>
  <r>
    <x v="230"/>
    <x v="6"/>
    <x v="0"/>
    <x v="0"/>
    <x v="2"/>
    <n v="85"/>
    <n v="39"/>
  </r>
  <r>
    <x v="230"/>
    <x v="6"/>
    <x v="0"/>
    <x v="0"/>
    <x v="2"/>
    <n v="69"/>
    <n v="23"/>
  </r>
  <r>
    <x v="230"/>
    <x v="5"/>
    <x v="0"/>
    <x v="1"/>
    <x v="2"/>
    <n v="32"/>
    <n v="81"/>
  </r>
  <r>
    <x v="230"/>
    <x v="3"/>
    <x v="2"/>
    <x v="1"/>
    <x v="2"/>
    <n v="56"/>
    <n v="51"/>
  </r>
  <r>
    <x v="230"/>
    <x v="8"/>
    <x v="2"/>
    <x v="1"/>
    <x v="1"/>
    <n v="89"/>
    <n v="63"/>
  </r>
  <r>
    <x v="230"/>
    <x v="5"/>
    <x v="0"/>
    <x v="0"/>
    <x v="2"/>
    <n v="20"/>
    <n v="73"/>
  </r>
  <r>
    <x v="230"/>
    <x v="12"/>
    <x v="2"/>
    <x v="1"/>
    <x v="1"/>
    <n v="97"/>
    <n v="119"/>
  </r>
  <r>
    <x v="230"/>
    <x v="3"/>
    <x v="2"/>
    <x v="1"/>
    <x v="2"/>
    <n v="64"/>
    <n v="89"/>
  </r>
  <r>
    <x v="230"/>
    <x v="9"/>
    <x v="2"/>
    <x v="0"/>
    <x v="0"/>
    <n v="39"/>
    <n v="141"/>
  </r>
  <r>
    <x v="231"/>
    <x v="7"/>
    <x v="1"/>
    <x v="0"/>
    <x v="1"/>
    <n v="17"/>
    <n v="104"/>
  </r>
  <r>
    <x v="231"/>
    <x v="12"/>
    <x v="2"/>
    <x v="1"/>
    <x v="0"/>
    <n v="78"/>
    <n v="30"/>
  </r>
  <r>
    <x v="231"/>
    <x v="4"/>
    <x v="1"/>
    <x v="1"/>
    <x v="2"/>
    <n v="58"/>
    <n v="39"/>
  </r>
  <r>
    <x v="231"/>
    <x v="5"/>
    <x v="0"/>
    <x v="0"/>
    <x v="2"/>
    <n v="35"/>
    <n v="117"/>
  </r>
  <r>
    <x v="231"/>
    <x v="11"/>
    <x v="1"/>
    <x v="1"/>
    <x v="0"/>
    <n v="18"/>
    <n v="20"/>
  </r>
  <r>
    <x v="231"/>
    <x v="2"/>
    <x v="0"/>
    <x v="0"/>
    <x v="0"/>
    <n v="16"/>
    <n v="80"/>
  </r>
  <r>
    <x v="231"/>
    <x v="7"/>
    <x v="1"/>
    <x v="0"/>
    <x v="0"/>
    <n v="48"/>
    <n v="81"/>
  </r>
  <r>
    <x v="232"/>
    <x v="14"/>
    <x v="2"/>
    <x v="0"/>
    <x v="0"/>
    <n v="87"/>
    <n v="119"/>
  </r>
  <r>
    <x v="232"/>
    <x v="14"/>
    <x v="2"/>
    <x v="1"/>
    <x v="0"/>
    <n v="27"/>
    <n v="84"/>
  </r>
  <r>
    <x v="232"/>
    <x v="5"/>
    <x v="0"/>
    <x v="1"/>
    <x v="2"/>
    <n v="13"/>
    <n v="115"/>
  </r>
  <r>
    <x v="232"/>
    <x v="1"/>
    <x v="1"/>
    <x v="1"/>
    <x v="0"/>
    <n v="46"/>
    <n v="28"/>
  </r>
  <r>
    <x v="232"/>
    <x v="8"/>
    <x v="2"/>
    <x v="0"/>
    <x v="0"/>
    <n v="50"/>
    <n v="39"/>
  </r>
  <r>
    <x v="232"/>
    <x v="8"/>
    <x v="2"/>
    <x v="1"/>
    <x v="0"/>
    <n v="28"/>
    <n v="27"/>
  </r>
  <r>
    <x v="232"/>
    <x v="12"/>
    <x v="2"/>
    <x v="1"/>
    <x v="1"/>
    <n v="66"/>
    <n v="125"/>
  </r>
  <r>
    <x v="232"/>
    <x v="3"/>
    <x v="2"/>
    <x v="1"/>
    <x v="0"/>
    <n v="48"/>
    <n v="73"/>
  </r>
  <r>
    <x v="233"/>
    <x v="2"/>
    <x v="0"/>
    <x v="1"/>
    <x v="1"/>
    <n v="58"/>
    <n v="75"/>
  </r>
  <r>
    <x v="233"/>
    <x v="12"/>
    <x v="2"/>
    <x v="1"/>
    <x v="0"/>
    <n v="11"/>
    <n v="79"/>
  </r>
  <r>
    <x v="233"/>
    <x v="6"/>
    <x v="0"/>
    <x v="0"/>
    <x v="2"/>
    <n v="77"/>
    <n v="61"/>
  </r>
  <r>
    <x v="233"/>
    <x v="7"/>
    <x v="1"/>
    <x v="0"/>
    <x v="0"/>
    <n v="60"/>
    <n v="34"/>
  </r>
  <r>
    <x v="233"/>
    <x v="11"/>
    <x v="1"/>
    <x v="0"/>
    <x v="2"/>
    <n v="53"/>
    <n v="59"/>
  </r>
  <r>
    <x v="234"/>
    <x v="4"/>
    <x v="1"/>
    <x v="1"/>
    <x v="0"/>
    <n v="88"/>
    <n v="112"/>
  </r>
  <r>
    <x v="234"/>
    <x v="9"/>
    <x v="2"/>
    <x v="1"/>
    <x v="2"/>
    <n v="39"/>
    <n v="106"/>
  </r>
  <r>
    <x v="234"/>
    <x v="0"/>
    <x v="0"/>
    <x v="0"/>
    <x v="0"/>
    <n v="52"/>
    <n v="104"/>
  </r>
  <r>
    <x v="234"/>
    <x v="4"/>
    <x v="1"/>
    <x v="1"/>
    <x v="2"/>
    <n v="51"/>
    <n v="45"/>
  </r>
  <r>
    <x v="234"/>
    <x v="2"/>
    <x v="0"/>
    <x v="1"/>
    <x v="2"/>
    <n v="18"/>
    <n v="106"/>
  </r>
  <r>
    <x v="234"/>
    <x v="7"/>
    <x v="1"/>
    <x v="0"/>
    <x v="0"/>
    <n v="39"/>
    <n v="140"/>
  </r>
  <r>
    <x v="235"/>
    <x v="7"/>
    <x v="1"/>
    <x v="0"/>
    <x v="2"/>
    <n v="30"/>
    <n v="116"/>
  </r>
  <r>
    <x v="235"/>
    <x v="12"/>
    <x v="2"/>
    <x v="0"/>
    <x v="2"/>
    <n v="48"/>
    <n v="84"/>
  </r>
  <r>
    <x v="235"/>
    <x v="7"/>
    <x v="1"/>
    <x v="0"/>
    <x v="0"/>
    <n v="39"/>
    <n v="120"/>
  </r>
  <r>
    <x v="235"/>
    <x v="0"/>
    <x v="0"/>
    <x v="0"/>
    <x v="0"/>
    <n v="72"/>
    <n v="27"/>
  </r>
  <r>
    <x v="235"/>
    <x v="2"/>
    <x v="0"/>
    <x v="1"/>
    <x v="2"/>
    <n v="19"/>
    <n v="54"/>
  </r>
  <r>
    <x v="235"/>
    <x v="6"/>
    <x v="0"/>
    <x v="0"/>
    <x v="0"/>
    <n v="76"/>
    <n v="117"/>
  </r>
  <r>
    <x v="235"/>
    <x v="0"/>
    <x v="0"/>
    <x v="0"/>
    <x v="0"/>
    <n v="90"/>
    <n v="20"/>
  </r>
  <r>
    <x v="236"/>
    <x v="11"/>
    <x v="1"/>
    <x v="1"/>
    <x v="2"/>
    <n v="42"/>
    <n v="66"/>
  </r>
  <r>
    <x v="236"/>
    <x v="6"/>
    <x v="0"/>
    <x v="1"/>
    <x v="2"/>
    <n v="94"/>
    <n v="69"/>
  </r>
  <r>
    <x v="236"/>
    <x v="13"/>
    <x v="0"/>
    <x v="0"/>
    <x v="0"/>
    <n v="89"/>
    <n v="42"/>
  </r>
  <r>
    <x v="236"/>
    <x v="13"/>
    <x v="0"/>
    <x v="0"/>
    <x v="2"/>
    <n v="93"/>
    <n v="150"/>
  </r>
  <r>
    <x v="236"/>
    <x v="4"/>
    <x v="1"/>
    <x v="1"/>
    <x v="0"/>
    <n v="18"/>
    <n v="60"/>
  </r>
  <r>
    <x v="236"/>
    <x v="8"/>
    <x v="2"/>
    <x v="0"/>
    <x v="0"/>
    <n v="83"/>
    <n v="138"/>
  </r>
  <r>
    <x v="236"/>
    <x v="7"/>
    <x v="1"/>
    <x v="0"/>
    <x v="0"/>
    <n v="30"/>
    <n v="150"/>
  </r>
  <r>
    <x v="237"/>
    <x v="14"/>
    <x v="2"/>
    <x v="1"/>
    <x v="2"/>
    <n v="80"/>
    <n v="110"/>
  </r>
  <r>
    <x v="237"/>
    <x v="8"/>
    <x v="2"/>
    <x v="0"/>
    <x v="2"/>
    <n v="38"/>
    <n v="127"/>
  </r>
  <r>
    <x v="237"/>
    <x v="11"/>
    <x v="1"/>
    <x v="1"/>
    <x v="0"/>
    <n v="68"/>
    <n v="139"/>
  </r>
  <r>
    <x v="237"/>
    <x v="11"/>
    <x v="1"/>
    <x v="0"/>
    <x v="2"/>
    <n v="67"/>
    <n v="145"/>
  </r>
  <r>
    <x v="237"/>
    <x v="6"/>
    <x v="0"/>
    <x v="1"/>
    <x v="1"/>
    <n v="99"/>
    <n v="29"/>
  </r>
  <r>
    <x v="237"/>
    <x v="14"/>
    <x v="2"/>
    <x v="0"/>
    <x v="2"/>
    <n v="75"/>
    <n v="91"/>
  </r>
  <r>
    <x v="237"/>
    <x v="11"/>
    <x v="1"/>
    <x v="1"/>
    <x v="2"/>
    <n v="78"/>
    <n v="99"/>
  </r>
  <r>
    <x v="238"/>
    <x v="13"/>
    <x v="0"/>
    <x v="1"/>
    <x v="0"/>
    <n v="26"/>
    <n v="52"/>
  </r>
  <r>
    <x v="238"/>
    <x v="10"/>
    <x v="1"/>
    <x v="0"/>
    <x v="1"/>
    <n v="64"/>
    <n v="79"/>
  </r>
  <r>
    <x v="238"/>
    <x v="4"/>
    <x v="1"/>
    <x v="0"/>
    <x v="0"/>
    <n v="15"/>
    <n v="74"/>
  </r>
  <r>
    <x v="238"/>
    <x v="13"/>
    <x v="0"/>
    <x v="1"/>
    <x v="2"/>
    <n v="17"/>
    <n v="36"/>
  </r>
  <r>
    <x v="238"/>
    <x v="10"/>
    <x v="1"/>
    <x v="0"/>
    <x v="1"/>
    <n v="85"/>
    <n v="123"/>
  </r>
  <r>
    <x v="238"/>
    <x v="6"/>
    <x v="0"/>
    <x v="0"/>
    <x v="1"/>
    <n v="47"/>
    <n v="126"/>
  </r>
  <r>
    <x v="238"/>
    <x v="12"/>
    <x v="2"/>
    <x v="0"/>
    <x v="1"/>
    <n v="78"/>
    <n v="92"/>
  </r>
  <r>
    <x v="238"/>
    <x v="7"/>
    <x v="1"/>
    <x v="0"/>
    <x v="0"/>
    <n v="43"/>
    <n v="23"/>
  </r>
  <r>
    <x v="238"/>
    <x v="14"/>
    <x v="2"/>
    <x v="0"/>
    <x v="0"/>
    <n v="14"/>
    <n v="27"/>
  </r>
  <r>
    <x v="238"/>
    <x v="5"/>
    <x v="0"/>
    <x v="0"/>
    <x v="1"/>
    <n v="99"/>
    <n v="65"/>
  </r>
  <r>
    <x v="239"/>
    <x v="1"/>
    <x v="1"/>
    <x v="1"/>
    <x v="1"/>
    <n v="97"/>
    <n v="99"/>
  </r>
  <r>
    <x v="239"/>
    <x v="2"/>
    <x v="0"/>
    <x v="1"/>
    <x v="1"/>
    <n v="38"/>
    <n v="77"/>
  </r>
  <r>
    <x v="239"/>
    <x v="4"/>
    <x v="1"/>
    <x v="0"/>
    <x v="1"/>
    <n v="93"/>
    <n v="49"/>
  </r>
  <r>
    <x v="239"/>
    <x v="12"/>
    <x v="2"/>
    <x v="0"/>
    <x v="2"/>
    <n v="99"/>
    <n v="91"/>
  </r>
  <r>
    <x v="239"/>
    <x v="8"/>
    <x v="2"/>
    <x v="1"/>
    <x v="0"/>
    <n v="92"/>
    <n v="27"/>
  </r>
  <r>
    <x v="239"/>
    <x v="12"/>
    <x v="2"/>
    <x v="1"/>
    <x v="0"/>
    <n v="57"/>
    <n v="107"/>
  </r>
  <r>
    <x v="239"/>
    <x v="1"/>
    <x v="1"/>
    <x v="1"/>
    <x v="1"/>
    <n v="60"/>
    <n v="20"/>
  </r>
  <r>
    <x v="240"/>
    <x v="1"/>
    <x v="1"/>
    <x v="1"/>
    <x v="1"/>
    <n v="29"/>
    <n v="117"/>
  </r>
  <r>
    <x v="240"/>
    <x v="11"/>
    <x v="1"/>
    <x v="0"/>
    <x v="0"/>
    <n v="39"/>
    <n v="108"/>
  </r>
  <r>
    <x v="240"/>
    <x v="7"/>
    <x v="1"/>
    <x v="1"/>
    <x v="1"/>
    <n v="92"/>
    <n v="132"/>
  </r>
  <r>
    <x v="240"/>
    <x v="14"/>
    <x v="2"/>
    <x v="0"/>
    <x v="1"/>
    <n v="81"/>
    <n v="148"/>
  </r>
  <r>
    <x v="240"/>
    <x v="10"/>
    <x v="1"/>
    <x v="1"/>
    <x v="2"/>
    <n v="89"/>
    <n v="121"/>
  </r>
  <r>
    <x v="240"/>
    <x v="4"/>
    <x v="1"/>
    <x v="1"/>
    <x v="2"/>
    <n v="87"/>
    <n v="84"/>
  </r>
  <r>
    <x v="241"/>
    <x v="3"/>
    <x v="2"/>
    <x v="0"/>
    <x v="0"/>
    <n v="13"/>
    <n v="101"/>
  </r>
  <r>
    <x v="241"/>
    <x v="11"/>
    <x v="1"/>
    <x v="1"/>
    <x v="0"/>
    <n v="46"/>
    <n v="134"/>
  </r>
  <r>
    <x v="241"/>
    <x v="9"/>
    <x v="2"/>
    <x v="1"/>
    <x v="1"/>
    <n v="13"/>
    <n v="112"/>
  </r>
  <r>
    <x v="241"/>
    <x v="13"/>
    <x v="0"/>
    <x v="1"/>
    <x v="0"/>
    <n v="79"/>
    <n v="140"/>
  </r>
  <r>
    <x v="241"/>
    <x v="9"/>
    <x v="2"/>
    <x v="0"/>
    <x v="2"/>
    <n v="59"/>
    <n v="49"/>
  </r>
  <r>
    <x v="241"/>
    <x v="3"/>
    <x v="2"/>
    <x v="0"/>
    <x v="2"/>
    <n v="16"/>
    <n v="86"/>
  </r>
  <r>
    <x v="242"/>
    <x v="11"/>
    <x v="1"/>
    <x v="0"/>
    <x v="2"/>
    <n v="33"/>
    <n v="69"/>
  </r>
  <r>
    <x v="242"/>
    <x v="12"/>
    <x v="2"/>
    <x v="0"/>
    <x v="2"/>
    <n v="28"/>
    <n v="60"/>
  </r>
  <r>
    <x v="242"/>
    <x v="8"/>
    <x v="2"/>
    <x v="0"/>
    <x v="1"/>
    <n v="14"/>
    <n v="133"/>
  </r>
  <r>
    <x v="242"/>
    <x v="6"/>
    <x v="0"/>
    <x v="0"/>
    <x v="1"/>
    <n v="60"/>
    <n v="100"/>
  </r>
  <r>
    <x v="242"/>
    <x v="5"/>
    <x v="0"/>
    <x v="1"/>
    <x v="1"/>
    <n v="76"/>
    <n v="110"/>
  </r>
  <r>
    <x v="243"/>
    <x v="2"/>
    <x v="0"/>
    <x v="0"/>
    <x v="0"/>
    <n v="71"/>
    <n v="93"/>
  </r>
  <r>
    <x v="243"/>
    <x v="3"/>
    <x v="2"/>
    <x v="1"/>
    <x v="2"/>
    <n v="43"/>
    <n v="52"/>
  </r>
  <r>
    <x v="243"/>
    <x v="5"/>
    <x v="0"/>
    <x v="0"/>
    <x v="2"/>
    <n v="28"/>
    <n v="55"/>
  </r>
  <r>
    <x v="243"/>
    <x v="1"/>
    <x v="1"/>
    <x v="0"/>
    <x v="1"/>
    <n v="39"/>
    <n v="126"/>
  </r>
  <r>
    <x v="243"/>
    <x v="4"/>
    <x v="1"/>
    <x v="0"/>
    <x v="2"/>
    <n v="88"/>
    <n v="76"/>
  </r>
  <r>
    <x v="243"/>
    <x v="5"/>
    <x v="0"/>
    <x v="0"/>
    <x v="0"/>
    <n v="59"/>
    <n v="150"/>
  </r>
  <r>
    <x v="243"/>
    <x v="4"/>
    <x v="1"/>
    <x v="1"/>
    <x v="1"/>
    <n v="22"/>
    <n v="122"/>
  </r>
  <r>
    <x v="243"/>
    <x v="11"/>
    <x v="1"/>
    <x v="1"/>
    <x v="2"/>
    <n v="32"/>
    <n v="86"/>
  </r>
  <r>
    <x v="243"/>
    <x v="5"/>
    <x v="0"/>
    <x v="1"/>
    <x v="2"/>
    <n v="69"/>
    <n v="29"/>
  </r>
  <r>
    <x v="244"/>
    <x v="11"/>
    <x v="1"/>
    <x v="1"/>
    <x v="2"/>
    <n v="45"/>
    <n v="76"/>
  </r>
  <r>
    <x v="244"/>
    <x v="12"/>
    <x v="2"/>
    <x v="1"/>
    <x v="2"/>
    <n v="87"/>
    <n v="77"/>
  </r>
  <r>
    <x v="244"/>
    <x v="12"/>
    <x v="2"/>
    <x v="0"/>
    <x v="2"/>
    <n v="33"/>
    <n v="37"/>
  </r>
  <r>
    <x v="244"/>
    <x v="7"/>
    <x v="1"/>
    <x v="0"/>
    <x v="0"/>
    <n v="13"/>
    <n v="31"/>
  </r>
  <r>
    <x v="244"/>
    <x v="6"/>
    <x v="0"/>
    <x v="0"/>
    <x v="2"/>
    <n v="36"/>
    <n v="142"/>
  </r>
  <r>
    <x v="244"/>
    <x v="11"/>
    <x v="1"/>
    <x v="1"/>
    <x v="0"/>
    <n v="20"/>
    <n v="25"/>
  </r>
  <r>
    <x v="245"/>
    <x v="8"/>
    <x v="2"/>
    <x v="1"/>
    <x v="0"/>
    <n v="38"/>
    <n v="96"/>
  </r>
  <r>
    <x v="245"/>
    <x v="7"/>
    <x v="1"/>
    <x v="0"/>
    <x v="2"/>
    <n v="21"/>
    <n v="74"/>
  </r>
  <r>
    <x v="245"/>
    <x v="5"/>
    <x v="0"/>
    <x v="1"/>
    <x v="2"/>
    <n v="70"/>
    <n v="78"/>
  </r>
  <r>
    <x v="245"/>
    <x v="1"/>
    <x v="1"/>
    <x v="1"/>
    <x v="0"/>
    <n v="36"/>
    <n v="138"/>
  </r>
  <r>
    <x v="245"/>
    <x v="4"/>
    <x v="1"/>
    <x v="0"/>
    <x v="1"/>
    <n v="45"/>
    <n v="139"/>
  </r>
  <r>
    <x v="245"/>
    <x v="9"/>
    <x v="2"/>
    <x v="1"/>
    <x v="0"/>
    <n v="82"/>
    <n v="71"/>
  </r>
  <r>
    <x v="245"/>
    <x v="7"/>
    <x v="1"/>
    <x v="0"/>
    <x v="0"/>
    <n v="12"/>
    <n v="146"/>
  </r>
  <r>
    <x v="245"/>
    <x v="9"/>
    <x v="2"/>
    <x v="0"/>
    <x v="2"/>
    <n v="56"/>
    <n v="68"/>
  </r>
  <r>
    <x v="245"/>
    <x v="10"/>
    <x v="1"/>
    <x v="0"/>
    <x v="2"/>
    <n v="79"/>
    <n v="112"/>
  </r>
  <r>
    <x v="246"/>
    <x v="1"/>
    <x v="1"/>
    <x v="0"/>
    <x v="2"/>
    <n v="10"/>
    <n v="37"/>
  </r>
  <r>
    <x v="246"/>
    <x v="1"/>
    <x v="1"/>
    <x v="1"/>
    <x v="0"/>
    <n v="24"/>
    <n v="71"/>
  </r>
  <r>
    <x v="246"/>
    <x v="2"/>
    <x v="0"/>
    <x v="1"/>
    <x v="2"/>
    <n v="29"/>
    <n v="47"/>
  </r>
  <r>
    <x v="246"/>
    <x v="14"/>
    <x v="2"/>
    <x v="1"/>
    <x v="2"/>
    <n v="89"/>
    <n v="39"/>
  </r>
  <r>
    <x v="246"/>
    <x v="13"/>
    <x v="0"/>
    <x v="0"/>
    <x v="1"/>
    <n v="12"/>
    <n v="120"/>
  </r>
  <r>
    <x v="247"/>
    <x v="8"/>
    <x v="2"/>
    <x v="0"/>
    <x v="2"/>
    <n v="41"/>
    <n v="118"/>
  </r>
  <r>
    <x v="247"/>
    <x v="8"/>
    <x v="2"/>
    <x v="0"/>
    <x v="0"/>
    <n v="43"/>
    <n v="105"/>
  </r>
  <r>
    <x v="247"/>
    <x v="2"/>
    <x v="0"/>
    <x v="1"/>
    <x v="2"/>
    <n v="61"/>
    <n v="114"/>
  </r>
  <r>
    <x v="247"/>
    <x v="0"/>
    <x v="0"/>
    <x v="0"/>
    <x v="1"/>
    <n v="83"/>
    <n v="57"/>
  </r>
  <r>
    <x v="247"/>
    <x v="0"/>
    <x v="0"/>
    <x v="1"/>
    <x v="1"/>
    <n v="78"/>
    <n v="112"/>
  </r>
  <r>
    <x v="247"/>
    <x v="14"/>
    <x v="2"/>
    <x v="1"/>
    <x v="1"/>
    <n v="40"/>
    <n v="100"/>
  </r>
  <r>
    <x v="247"/>
    <x v="8"/>
    <x v="2"/>
    <x v="0"/>
    <x v="2"/>
    <n v="45"/>
    <n v="63"/>
  </r>
  <r>
    <x v="247"/>
    <x v="5"/>
    <x v="0"/>
    <x v="0"/>
    <x v="2"/>
    <n v="65"/>
    <n v="88"/>
  </r>
  <r>
    <x v="247"/>
    <x v="10"/>
    <x v="1"/>
    <x v="0"/>
    <x v="0"/>
    <n v="95"/>
    <n v="72"/>
  </r>
  <r>
    <x v="247"/>
    <x v="13"/>
    <x v="0"/>
    <x v="0"/>
    <x v="0"/>
    <n v="29"/>
    <n v="32"/>
  </r>
  <r>
    <x v="248"/>
    <x v="11"/>
    <x v="1"/>
    <x v="1"/>
    <x v="1"/>
    <n v="96"/>
    <n v="50"/>
  </r>
  <r>
    <x v="248"/>
    <x v="1"/>
    <x v="1"/>
    <x v="0"/>
    <x v="1"/>
    <n v="78"/>
    <n v="99"/>
  </r>
  <r>
    <x v="248"/>
    <x v="7"/>
    <x v="1"/>
    <x v="1"/>
    <x v="0"/>
    <n v="30"/>
    <n v="133"/>
  </r>
  <r>
    <x v="248"/>
    <x v="11"/>
    <x v="1"/>
    <x v="0"/>
    <x v="0"/>
    <n v="92"/>
    <n v="49"/>
  </r>
  <r>
    <x v="248"/>
    <x v="7"/>
    <x v="1"/>
    <x v="0"/>
    <x v="1"/>
    <n v="64"/>
    <n v="139"/>
  </r>
  <r>
    <x v="248"/>
    <x v="2"/>
    <x v="0"/>
    <x v="1"/>
    <x v="2"/>
    <n v="34"/>
    <n v="110"/>
  </r>
  <r>
    <x v="248"/>
    <x v="10"/>
    <x v="1"/>
    <x v="0"/>
    <x v="0"/>
    <n v="16"/>
    <n v="89"/>
  </r>
  <r>
    <x v="248"/>
    <x v="6"/>
    <x v="0"/>
    <x v="0"/>
    <x v="1"/>
    <n v="71"/>
    <n v="132"/>
  </r>
  <r>
    <x v="248"/>
    <x v="6"/>
    <x v="0"/>
    <x v="0"/>
    <x v="2"/>
    <n v="95"/>
    <n v="109"/>
  </r>
  <r>
    <x v="248"/>
    <x v="13"/>
    <x v="0"/>
    <x v="0"/>
    <x v="1"/>
    <n v="42"/>
    <n v="123"/>
  </r>
  <r>
    <x v="248"/>
    <x v="1"/>
    <x v="1"/>
    <x v="1"/>
    <x v="2"/>
    <n v="50"/>
    <n v="60"/>
  </r>
  <r>
    <x v="248"/>
    <x v="6"/>
    <x v="0"/>
    <x v="0"/>
    <x v="0"/>
    <n v="38"/>
    <n v="89"/>
  </r>
  <r>
    <x v="249"/>
    <x v="1"/>
    <x v="1"/>
    <x v="0"/>
    <x v="1"/>
    <n v="45"/>
    <n v="125"/>
  </r>
  <r>
    <x v="249"/>
    <x v="12"/>
    <x v="2"/>
    <x v="0"/>
    <x v="1"/>
    <n v="92"/>
    <n v="68"/>
  </r>
  <r>
    <x v="249"/>
    <x v="9"/>
    <x v="2"/>
    <x v="1"/>
    <x v="0"/>
    <n v="49"/>
    <n v="28"/>
  </r>
  <r>
    <x v="249"/>
    <x v="13"/>
    <x v="0"/>
    <x v="1"/>
    <x v="0"/>
    <n v="62"/>
    <n v="78"/>
  </r>
  <r>
    <x v="249"/>
    <x v="7"/>
    <x v="1"/>
    <x v="1"/>
    <x v="2"/>
    <n v="85"/>
    <n v="54"/>
  </r>
  <r>
    <x v="249"/>
    <x v="7"/>
    <x v="1"/>
    <x v="1"/>
    <x v="1"/>
    <n v="75"/>
    <n v="139"/>
  </r>
  <r>
    <x v="249"/>
    <x v="12"/>
    <x v="2"/>
    <x v="0"/>
    <x v="2"/>
    <n v="14"/>
    <n v="92"/>
  </r>
  <r>
    <x v="249"/>
    <x v="0"/>
    <x v="0"/>
    <x v="1"/>
    <x v="2"/>
    <n v="65"/>
    <n v="83"/>
  </r>
  <r>
    <x v="249"/>
    <x v="10"/>
    <x v="1"/>
    <x v="1"/>
    <x v="0"/>
    <n v="78"/>
    <n v="140"/>
  </r>
  <r>
    <x v="249"/>
    <x v="12"/>
    <x v="2"/>
    <x v="1"/>
    <x v="0"/>
    <n v="25"/>
    <n v="21"/>
  </r>
  <r>
    <x v="249"/>
    <x v="4"/>
    <x v="1"/>
    <x v="1"/>
    <x v="2"/>
    <n v="49"/>
    <n v="148"/>
  </r>
  <r>
    <x v="250"/>
    <x v="11"/>
    <x v="1"/>
    <x v="1"/>
    <x v="2"/>
    <n v="13"/>
    <n v="61"/>
  </r>
  <r>
    <x v="250"/>
    <x v="10"/>
    <x v="1"/>
    <x v="0"/>
    <x v="0"/>
    <n v="76"/>
    <n v="92"/>
  </r>
  <r>
    <x v="250"/>
    <x v="10"/>
    <x v="1"/>
    <x v="0"/>
    <x v="1"/>
    <n v="85"/>
    <n v="87"/>
  </r>
  <r>
    <x v="250"/>
    <x v="5"/>
    <x v="0"/>
    <x v="0"/>
    <x v="0"/>
    <n v="68"/>
    <n v="106"/>
  </r>
  <r>
    <x v="250"/>
    <x v="4"/>
    <x v="1"/>
    <x v="1"/>
    <x v="2"/>
    <n v="58"/>
    <n v="21"/>
  </r>
  <r>
    <x v="250"/>
    <x v="6"/>
    <x v="0"/>
    <x v="0"/>
    <x v="2"/>
    <n v="67"/>
    <n v="86"/>
  </r>
  <r>
    <x v="250"/>
    <x v="8"/>
    <x v="2"/>
    <x v="1"/>
    <x v="2"/>
    <n v="21"/>
    <n v="134"/>
  </r>
  <r>
    <x v="250"/>
    <x v="5"/>
    <x v="0"/>
    <x v="0"/>
    <x v="1"/>
    <n v="99"/>
    <n v="36"/>
  </r>
  <r>
    <x v="250"/>
    <x v="7"/>
    <x v="1"/>
    <x v="1"/>
    <x v="0"/>
    <n v="23"/>
    <n v="40"/>
  </r>
  <r>
    <x v="251"/>
    <x v="1"/>
    <x v="1"/>
    <x v="0"/>
    <x v="1"/>
    <n v="24"/>
    <n v="73"/>
  </r>
  <r>
    <x v="251"/>
    <x v="3"/>
    <x v="2"/>
    <x v="0"/>
    <x v="2"/>
    <n v="37"/>
    <n v="85"/>
  </r>
  <r>
    <x v="251"/>
    <x v="9"/>
    <x v="2"/>
    <x v="1"/>
    <x v="0"/>
    <n v="89"/>
    <n v="33"/>
  </r>
  <r>
    <x v="251"/>
    <x v="4"/>
    <x v="1"/>
    <x v="1"/>
    <x v="0"/>
    <n v="14"/>
    <n v="46"/>
  </r>
  <r>
    <x v="251"/>
    <x v="8"/>
    <x v="2"/>
    <x v="0"/>
    <x v="2"/>
    <n v="86"/>
    <n v="94"/>
  </r>
  <r>
    <x v="252"/>
    <x v="6"/>
    <x v="0"/>
    <x v="1"/>
    <x v="0"/>
    <n v="24"/>
    <n v="111"/>
  </r>
  <r>
    <x v="253"/>
    <x v="4"/>
    <x v="1"/>
    <x v="1"/>
    <x v="0"/>
    <n v="80"/>
    <n v="61"/>
  </r>
  <r>
    <x v="253"/>
    <x v="11"/>
    <x v="1"/>
    <x v="0"/>
    <x v="1"/>
    <n v="25"/>
    <n v="91"/>
  </r>
  <r>
    <x v="253"/>
    <x v="2"/>
    <x v="0"/>
    <x v="1"/>
    <x v="1"/>
    <n v="87"/>
    <n v="143"/>
  </r>
  <r>
    <x v="253"/>
    <x v="2"/>
    <x v="0"/>
    <x v="0"/>
    <x v="1"/>
    <n v="81"/>
    <n v="36"/>
  </r>
  <r>
    <x v="253"/>
    <x v="1"/>
    <x v="1"/>
    <x v="1"/>
    <x v="1"/>
    <n v="28"/>
    <n v="67"/>
  </r>
  <r>
    <x v="253"/>
    <x v="1"/>
    <x v="1"/>
    <x v="0"/>
    <x v="0"/>
    <n v="17"/>
    <n v="105"/>
  </r>
  <r>
    <x v="253"/>
    <x v="6"/>
    <x v="0"/>
    <x v="1"/>
    <x v="2"/>
    <n v="68"/>
    <n v="53"/>
  </r>
  <r>
    <x v="253"/>
    <x v="3"/>
    <x v="2"/>
    <x v="0"/>
    <x v="0"/>
    <n v="72"/>
    <n v="87"/>
  </r>
  <r>
    <x v="253"/>
    <x v="6"/>
    <x v="0"/>
    <x v="0"/>
    <x v="1"/>
    <n v="13"/>
    <n v="68"/>
  </r>
  <r>
    <x v="253"/>
    <x v="8"/>
    <x v="2"/>
    <x v="1"/>
    <x v="2"/>
    <n v="31"/>
    <n v="88"/>
  </r>
  <r>
    <x v="254"/>
    <x v="13"/>
    <x v="0"/>
    <x v="0"/>
    <x v="2"/>
    <n v="72"/>
    <n v="143"/>
  </r>
  <r>
    <x v="254"/>
    <x v="2"/>
    <x v="0"/>
    <x v="0"/>
    <x v="1"/>
    <n v="62"/>
    <n v="23"/>
  </r>
  <r>
    <x v="254"/>
    <x v="14"/>
    <x v="2"/>
    <x v="1"/>
    <x v="1"/>
    <n v="37"/>
    <n v="129"/>
  </r>
  <r>
    <x v="254"/>
    <x v="4"/>
    <x v="1"/>
    <x v="0"/>
    <x v="0"/>
    <n v="47"/>
    <n v="75"/>
  </r>
  <r>
    <x v="254"/>
    <x v="3"/>
    <x v="2"/>
    <x v="0"/>
    <x v="1"/>
    <n v="77"/>
    <n v="99"/>
  </r>
  <r>
    <x v="254"/>
    <x v="3"/>
    <x v="2"/>
    <x v="0"/>
    <x v="0"/>
    <n v="49"/>
    <n v="24"/>
  </r>
  <r>
    <x v="254"/>
    <x v="1"/>
    <x v="1"/>
    <x v="0"/>
    <x v="1"/>
    <n v="65"/>
    <n v="114"/>
  </r>
  <r>
    <x v="254"/>
    <x v="14"/>
    <x v="2"/>
    <x v="0"/>
    <x v="1"/>
    <n v="18"/>
    <n v="141"/>
  </r>
  <r>
    <x v="254"/>
    <x v="0"/>
    <x v="0"/>
    <x v="1"/>
    <x v="0"/>
    <n v="59"/>
    <n v="63"/>
  </r>
  <r>
    <x v="255"/>
    <x v="8"/>
    <x v="2"/>
    <x v="1"/>
    <x v="2"/>
    <n v="74"/>
    <n v="39"/>
  </r>
  <r>
    <x v="255"/>
    <x v="12"/>
    <x v="2"/>
    <x v="0"/>
    <x v="2"/>
    <n v="13"/>
    <n v="57"/>
  </r>
  <r>
    <x v="255"/>
    <x v="14"/>
    <x v="2"/>
    <x v="0"/>
    <x v="1"/>
    <n v="36"/>
    <n v="57"/>
  </r>
  <r>
    <x v="255"/>
    <x v="12"/>
    <x v="2"/>
    <x v="1"/>
    <x v="2"/>
    <n v="22"/>
    <n v="41"/>
  </r>
  <r>
    <x v="255"/>
    <x v="7"/>
    <x v="1"/>
    <x v="0"/>
    <x v="0"/>
    <n v="95"/>
    <n v="84"/>
  </r>
  <r>
    <x v="255"/>
    <x v="14"/>
    <x v="2"/>
    <x v="0"/>
    <x v="1"/>
    <n v="74"/>
    <n v="82"/>
  </r>
  <r>
    <x v="255"/>
    <x v="2"/>
    <x v="0"/>
    <x v="0"/>
    <x v="2"/>
    <n v="39"/>
    <n v="51"/>
  </r>
  <r>
    <x v="255"/>
    <x v="6"/>
    <x v="0"/>
    <x v="1"/>
    <x v="0"/>
    <n v="30"/>
    <n v="87"/>
  </r>
  <r>
    <x v="255"/>
    <x v="6"/>
    <x v="0"/>
    <x v="0"/>
    <x v="2"/>
    <n v="19"/>
    <n v="71"/>
  </r>
  <r>
    <x v="255"/>
    <x v="14"/>
    <x v="2"/>
    <x v="1"/>
    <x v="2"/>
    <n v="52"/>
    <n v="148"/>
  </r>
  <r>
    <x v="255"/>
    <x v="7"/>
    <x v="1"/>
    <x v="1"/>
    <x v="0"/>
    <n v="44"/>
    <n v="30"/>
  </r>
  <r>
    <x v="255"/>
    <x v="10"/>
    <x v="1"/>
    <x v="1"/>
    <x v="1"/>
    <n v="30"/>
    <n v="98"/>
  </r>
  <r>
    <x v="255"/>
    <x v="11"/>
    <x v="1"/>
    <x v="0"/>
    <x v="2"/>
    <n v="87"/>
    <n v="37"/>
  </r>
  <r>
    <x v="255"/>
    <x v="3"/>
    <x v="2"/>
    <x v="1"/>
    <x v="2"/>
    <n v="17"/>
    <n v="143"/>
  </r>
  <r>
    <x v="256"/>
    <x v="5"/>
    <x v="0"/>
    <x v="0"/>
    <x v="1"/>
    <n v="91"/>
    <n v="107"/>
  </r>
  <r>
    <x v="256"/>
    <x v="9"/>
    <x v="2"/>
    <x v="0"/>
    <x v="1"/>
    <n v="39"/>
    <n v="90"/>
  </r>
  <r>
    <x v="256"/>
    <x v="7"/>
    <x v="1"/>
    <x v="1"/>
    <x v="0"/>
    <n v="97"/>
    <n v="38"/>
  </r>
  <r>
    <x v="256"/>
    <x v="8"/>
    <x v="2"/>
    <x v="0"/>
    <x v="1"/>
    <n v="80"/>
    <n v="104"/>
  </r>
  <r>
    <x v="256"/>
    <x v="1"/>
    <x v="1"/>
    <x v="1"/>
    <x v="0"/>
    <n v="76"/>
    <n v="122"/>
  </r>
  <r>
    <x v="257"/>
    <x v="14"/>
    <x v="2"/>
    <x v="1"/>
    <x v="1"/>
    <n v="65"/>
    <n v="71"/>
  </r>
  <r>
    <x v="258"/>
    <x v="9"/>
    <x v="2"/>
    <x v="0"/>
    <x v="2"/>
    <n v="67"/>
    <n v="107"/>
  </r>
  <r>
    <x v="258"/>
    <x v="12"/>
    <x v="2"/>
    <x v="0"/>
    <x v="1"/>
    <n v="26"/>
    <n v="88"/>
  </r>
  <r>
    <x v="258"/>
    <x v="12"/>
    <x v="2"/>
    <x v="1"/>
    <x v="1"/>
    <n v="45"/>
    <n v="79"/>
  </r>
  <r>
    <x v="258"/>
    <x v="0"/>
    <x v="0"/>
    <x v="0"/>
    <x v="1"/>
    <n v="31"/>
    <n v="136"/>
  </r>
  <r>
    <x v="258"/>
    <x v="6"/>
    <x v="0"/>
    <x v="1"/>
    <x v="2"/>
    <n v="83"/>
    <n v="126"/>
  </r>
  <r>
    <x v="258"/>
    <x v="1"/>
    <x v="1"/>
    <x v="1"/>
    <x v="1"/>
    <n v="24"/>
    <n v="123"/>
  </r>
  <r>
    <x v="258"/>
    <x v="12"/>
    <x v="2"/>
    <x v="1"/>
    <x v="1"/>
    <n v="79"/>
    <n v="141"/>
  </r>
  <r>
    <x v="259"/>
    <x v="5"/>
    <x v="0"/>
    <x v="1"/>
    <x v="1"/>
    <n v="89"/>
    <n v="118"/>
  </r>
  <r>
    <x v="259"/>
    <x v="10"/>
    <x v="1"/>
    <x v="0"/>
    <x v="2"/>
    <n v="53"/>
    <n v="30"/>
  </r>
  <r>
    <x v="259"/>
    <x v="13"/>
    <x v="0"/>
    <x v="0"/>
    <x v="1"/>
    <n v="70"/>
    <n v="121"/>
  </r>
  <r>
    <x v="259"/>
    <x v="11"/>
    <x v="1"/>
    <x v="0"/>
    <x v="2"/>
    <n v="88"/>
    <n v="116"/>
  </r>
  <r>
    <x v="259"/>
    <x v="2"/>
    <x v="0"/>
    <x v="0"/>
    <x v="1"/>
    <n v="63"/>
    <n v="89"/>
  </r>
  <r>
    <x v="259"/>
    <x v="10"/>
    <x v="1"/>
    <x v="1"/>
    <x v="0"/>
    <n v="27"/>
    <n v="150"/>
  </r>
  <r>
    <x v="259"/>
    <x v="11"/>
    <x v="1"/>
    <x v="0"/>
    <x v="1"/>
    <n v="93"/>
    <n v="118"/>
  </r>
  <r>
    <x v="259"/>
    <x v="6"/>
    <x v="0"/>
    <x v="0"/>
    <x v="0"/>
    <n v="33"/>
    <n v="71"/>
  </r>
  <r>
    <x v="259"/>
    <x v="4"/>
    <x v="1"/>
    <x v="1"/>
    <x v="1"/>
    <n v="77"/>
    <n v="72"/>
  </r>
  <r>
    <x v="260"/>
    <x v="12"/>
    <x v="2"/>
    <x v="0"/>
    <x v="1"/>
    <n v="13"/>
    <n v="88"/>
  </r>
  <r>
    <x v="260"/>
    <x v="11"/>
    <x v="1"/>
    <x v="0"/>
    <x v="1"/>
    <n v="93"/>
    <n v="87"/>
  </r>
  <r>
    <x v="260"/>
    <x v="5"/>
    <x v="0"/>
    <x v="0"/>
    <x v="2"/>
    <n v="52"/>
    <n v="140"/>
  </r>
  <r>
    <x v="260"/>
    <x v="14"/>
    <x v="2"/>
    <x v="1"/>
    <x v="1"/>
    <n v="27"/>
    <n v="126"/>
  </r>
  <r>
    <x v="260"/>
    <x v="0"/>
    <x v="0"/>
    <x v="1"/>
    <x v="1"/>
    <n v="73"/>
    <n v="74"/>
  </r>
  <r>
    <x v="260"/>
    <x v="12"/>
    <x v="2"/>
    <x v="1"/>
    <x v="0"/>
    <n v="29"/>
    <n v="77"/>
  </r>
  <r>
    <x v="260"/>
    <x v="2"/>
    <x v="0"/>
    <x v="1"/>
    <x v="2"/>
    <n v="96"/>
    <n v="87"/>
  </r>
  <r>
    <x v="260"/>
    <x v="5"/>
    <x v="0"/>
    <x v="0"/>
    <x v="0"/>
    <n v="100"/>
    <n v="78"/>
  </r>
  <r>
    <x v="261"/>
    <x v="12"/>
    <x v="2"/>
    <x v="1"/>
    <x v="2"/>
    <n v="90"/>
    <n v="62"/>
  </r>
  <r>
    <x v="261"/>
    <x v="4"/>
    <x v="1"/>
    <x v="1"/>
    <x v="0"/>
    <n v="56"/>
    <n v="43"/>
  </r>
  <r>
    <x v="261"/>
    <x v="1"/>
    <x v="1"/>
    <x v="1"/>
    <x v="2"/>
    <n v="100"/>
    <n v="56"/>
  </r>
  <r>
    <x v="261"/>
    <x v="11"/>
    <x v="1"/>
    <x v="0"/>
    <x v="0"/>
    <n v="53"/>
    <n v="121"/>
  </r>
  <r>
    <x v="261"/>
    <x v="11"/>
    <x v="1"/>
    <x v="0"/>
    <x v="2"/>
    <n v="85"/>
    <n v="75"/>
  </r>
  <r>
    <x v="261"/>
    <x v="5"/>
    <x v="0"/>
    <x v="0"/>
    <x v="2"/>
    <n v="21"/>
    <n v="21"/>
  </r>
  <r>
    <x v="261"/>
    <x v="0"/>
    <x v="0"/>
    <x v="1"/>
    <x v="1"/>
    <n v="11"/>
    <n v="58"/>
  </r>
  <r>
    <x v="261"/>
    <x v="1"/>
    <x v="1"/>
    <x v="0"/>
    <x v="2"/>
    <n v="13"/>
    <n v="41"/>
  </r>
  <r>
    <x v="261"/>
    <x v="9"/>
    <x v="2"/>
    <x v="1"/>
    <x v="0"/>
    <n v="90"/>
    <n v="106"/>
  </r>
  <r>
    <x v="261"/>
    <x v="8"/>
    <x v="2"/>
    <x v="1"/>
    <x v="2"/>
    <n v="82"/>
    <n v="144"/>
  </r>
  <r>
    <x v="262"/>
    <x v="5"/>
    <x v="0"/>
    <x v="0"/>
    <x v="0"/>
    <n v="28"/>
    <n v="121"/>
  </r>
  <r>
    <x v="262"/>
    <x v="2"/>
    <x v="0"/>
    <x v="0"/>
    <x v="1"/>
    <n v="29"/>
    <n v="69"/>
  </r>
  <r>
    <x v="262"/>
    <x v="9"/>
    <x v="2"/>
    <x v="0"/>
    <x v="2"/>
    <n v="24"/>
    <n v="117"/>
  </r>
  <r>
    <x v="262"/>
    <x v="3"/>
    <x v="2"/>
    <x v="1"/>
    <x v="0"/>
    <n v="26"/>
    <n v="121"/>
  </r>
  <r>
    <x v="262"/>
    <x v="2"/>
    <x v="0"/>
    <x v="0"/>
    <x v="2"/>
    <n v="98"/>
    <n v="66"/>
  </r>
  <r>
    <x v="262"/>
    <x v="2"/>
    <x v="0"/>
    <x v="1"/>
    <x v="2"/>
    <n v="84"/>
    <n v="24"/>
  </r>
  <r>
    <x v="263"/>
    <x v="13"/>
    <x v="0"/>
    <x v="0"/>
    <x v="0"/>
    <n v="76"/>
    <n v="85"/>
  </r>
  <r>
    <x v="263"/>
    <x v="8"/>
    <x v="2"/>
    <x v="0"/>
    <x v="0"/>
    <n v="33"/>
    <n v="52"/>
  </r>
  <r>
    <x v="263"/>
    <x v="8"/>
    <x v="2"/>
    <x v="1"/>
    <x v="0"/>
    <n v="44"/>
    <n v="99"/>
  </r>
  <r>
    <x v="263"/>
    <x v="6"/>
    <x v="0"/>
    <x v="1"/>
    <x v="0"/>
    <n v="34"/>
    <n v="149"/>
  </r>
  <r>
    <x v="263"/>
    <x v="5"/>
    <x v="0"/>
    <x v="0"/>
    <x v="2"/>
    <n v="25"/>
    <n v="86"/>
  </r>
  <r>
    <x v="263"/>
    <x v="7"/>
    <x v="1"/>
    <x v="1"/>
    <x v="0"/>
    <n v="65"/>
    <n v="99"/>
  </r>
  <r>
    <x v="264"/>
    <x v="0"/>
    <x v="0"/>
    <x v="1"/>
    <x v="0"/>
    <n v="22"/>
    <n v="102"/>
  </r>
  <r>
    <x v="264"/>
    <x v="13"/>
    <x v="0"/>
    <x v="0"/>
    <x v="1"/>
    <n v="22"/>
    <n v="117"/>
  </r>
  <r>
    <x v="264"/>
    <x v="5"/>
    <x v="0"/>
    <x v="0"/>
    <x v="1"/>
    <n v="73"/>
    <n v="35"/>
  </r>
  <r>
    <x v="264"/>
    <x v="6"/>
    <x v="0"/>
    <x v="1"/>
    <x v="0"/>
    <n v="79"/>
    <n v="97"/>
  </r>
  <r>
    <x v="264"/>
    <x v="1"/>
    <x v="1"/>
    <x v="1"/>
    <x v="0"/>
    <n v="73"/>
    <n v="121"/>
  </r>
  <r>
    <x v="264"/>
    <x v="9"/>
    <x v="2"/>
    <x v="1"/>
    <x v="2"/>
    <n v="89"/>
    <n v="99"/>
  </r>
  <r>
    <x v="264"/>
    <x v="1"/>
    <x v="1"/>
    <x v="1"/>
    <x v="1"/>
    <n v="83"/>
    <n v="131"/>
  </r>
  <r>
    <x v="264"/>
    <x v="2"/>
    <x v="0"/>
    <x v="0"/>
    <x v="0"/>
    <n v="68"/>
    <n v="35"/>
  </r>
  <r>
    <x v="265"/>
    <x v="1"/>
    <x v="1"/>
    <x v="1"/>
    <x v="1"/>
    <n v="21"/>
    <n v="28"/>
  </r>
  <r>
    <x v="265"/>
    <x v="7"/>
    <x v="1"/>
    <x v="0"/>
    <x v="1"/>
    <n v="87"/>
    <n v="65"/>
  </r>
  <r>
    <x v="265"/>
    <x v="11"/>
    <x v="1"/>
    <x v="1"/>
    <x v="0"/>
    <n v="25"/>
    <n v="52"/>
  </r>
  <r>
    <x v="265"/>
    <x v="6"/>
    <x v="0"/>
    <x v="1"/>
    <x v="2"/>
    <n v="29"/>
    <n v="101"/>
  </r>
  <r>
    <x v="265"/>
    <x v="0"/>
    <x v="0"/>
    <x v="1"/>
    <x v="1"/>
    <n v="36"/>
    <n v="97"/>
  </r>
  <r>
    <x v="265"/>
    <x v="1"/>
    <x v="1"/>
    <x v="1"/>
    <x v="0"/>
    <n v="66"/>
    <n v="29"/>
  </r>
  <r>
    <x v="265"/>
    <x v="5"/>
    <x v="0"/>
    <x v="1"/>
    <x v="1"/>
    <n v="53"/>
    <n v="148"/>
  </r>
  <r>
    <x v="265"/>
    <x v="12"/>
    <x v="2"/>
    <x v="0"/>
    <x v="2"/>
    <n v="61"/>
    <n v="86"/>
  </r>
  <r>
    <x v="265"/>
    <x v="10"/>
    <x v="1"/>
    <x v="0"/>
    <x v="2"/>
    <n v="53"/>
    <n v="129"/>
  </r>
  <r>
    <x v="265"/>
    <x v="1"/>
    <x v="1"/>
    <x v="0"/>
    <x v="0"/>
    <n v="97"/>
    <n v="119"/>
  </r>
  <r>
    <x v="265"/>
    <x v="10"/>
    <x v="1"/>
    <x v="0"/>
    <x v="2"/>
    <n v="59"/>
    <n v="20"/>
  </r>
  <r>
    <x v="265"/>
    <x v="1"/>
    <x v="1"/>
    <x v="1"/>
    <x v="1"/>
    <n v="36"/>
    <n v="126"/>
  </r>
  <r>
    <x v="265"/>
    <x v="2"/>
    <x v="0"/>
    <x v="1"/>
    <x v="0"/>
    <n v="87"/>
    <n v="102"/>
  </r>
  <r>
    <x v="265"/>
    <x v="3"/>
    <x v="2"/>
    <x v="0"/>
    <x v="0"/>
    <n v="99"/>
    <n v="120"/>
  </r>
  <r>
    <x v="265"/>
    <x v="10"/>
    <x v="1"/>
    <x v="0"/>
    <x v="1"/>
    <n v="44"/>
    <n v="48"/>
  </r>
  <r>
    <x v="266"/>
    <x v="9"/>
    <x v="2"/>
    <x v="1"/>
    <x v="0"/>
    <n v="54"/>
    <n v="79"/>
  </r>
  <r>
    <x v="266"/>
    <x v="1"/>
    <x v="1"/>
    <x v="0"/>
    <x v="0"/>
    <n v="11"/>
    <n v="63"/>
  </r>
  <r>
    <x v="266"/>
    <x v="4"/>
    <x v="1"/>
    <x v="0"/>
    <x v="2"/>
    <n v="39"/>
    <n v="80"/>
  </r>
  <r>
    <x v="266"/>
    <x v="7"/>
    <x v="1"/>
    <x v="0"/>
    <x v="0"/>
    <n v="56"/>
    <n v="94"/>
  </r>
  <r>
    <x v="266"/>
    <x v="4"/>
    <x v="1"/>
    <x v="1"/>
    <x v="0"/>
    <n v="64"/>
    <n v="68"/>
  </r>
  <r>
    <x v="266"/>
    <x v="9"/>
    <x v="2"/>
    <x v="1"/>
    <x v="2"/>
    <n v="47"/>
    <n v="137"/>
  </r>
  <r>
    <x v="266"/>
    <x v="10"/>
    <x v="1"/>
    <x v="0"/>
    <x v="1"/>
    <n v="90"/>
    <n v="150"/>
  </r>
  <r>
    <x v="267"/>
    <x v="7"/>
    <x v="1"/>
    <x v="1"/>
    <x v="2"/>
    <n v="52"/>
    <n v="41"/>
  </r>
  <r>
    <x v="267"/>
    <x v="7"/>
    <x v="1"/>
    <x v="0"/>
    <x v="1"/>
    <n v="83"/>
    <n v="141"/>
  </r>
  <r>
    <x v="267"/>
    <x v="5"/>
    <x v="0"/>
    <x v="0"/>
    <x v="0"/>
    <n v="53"/>
    <n v="58"/>
  </r>
  <r>
    <x v="268"/>
    <x v="6"/>
    <x v="0"/>
    <x v="1"/>
    <x v="0"/>
    <n v="33"/>
    <n v="112"/>
  </r>
  <r>
    <x v="268"/>
    <x v="3"/>
    <x v="2"/>
    <x v="1"/>
    <x v="1"/>
    <n v="85"/>
    <n v="32"/>
  </r>
  <r>
    <x v="268"/>
    <x v="6"/>
    <x v="0"/>
    <x v="1"/>
    <x v="2"/>
    <n v="57"/>
    <n v="64"/>
  </r>
  <r>
    <x v="268"/>
    <x v="7"/>
    <x v="1"/>
    <x v="0"/>
    <x v="0"/>
    <n v="56"/>
    <n v="140"/>
  </r>
  <r>
    <x v="268"/>
    <x v="10"/>
    <x v="1"/>
    <x v="0"/>
    <x v="0"/>
    <n v="54"/>
    <n v="111"/>
  </r>
  <r>
    <x v="268"/>
    <x v="0"/>
    <x v="0"/>
    <x v="1"/>
    <x v="2"/>
    <n v="76"/>
    <n v="30"/>
  </r>
  <r>
    <x v="268"/>
    <x v="9"/>
    <x v="2"/>
    <x v="0"/>
    <x v="0"/>
    <n v="82"/>
    <n v="89"/>
  </r>
  <r>
    <x v="268"/>
    <x v="10"/>
    <x v="1"/>
    <x v="1"/>
    <x v="0"/>
    <n v="65"/>
    <n v="94"/>
  </r>
  <r>
    <x v="268"/>
    <x v="12"/>
    <x v="2"/>
    <x v="0"/>
    <x v="2"/>
    <n v="24"/>
    <n v="82"/>
  </r>
  <r>
    <x v="268"/>
    <x v="2"/>
    <x v="0"/>
    <x v="0"/>
    <x v="2"/>
    <n v="81"/>
    <n v="90"/>
  </r>
  <r>
    <x v="268"/>
    <x v="8"/>
    <x v="2"/>
    <x v="0"/>
    <x v="1"/>
    <n v="98"/>
    <n v="37"/>
  </r>
  <r>
    <x v="268"/>
    <x v="1"/>
    <x v="1"/>
    <x v="1"/>
    <x v="1"/>
    <n v="45"/>
    <n v="141"/>
  </r>
  <r>
    <x v="269"/>
    <x v="0"/>
    <x v="0"/>
    <x v="0"/>
    <x v="2"/>
    <n v="33"/>
    <n v="74"/>
  </r>
  <r>
    <x v="269"/>
    <x v="3"/>
    <x v="2"/>
    <x v="0"/>
    <x v="2"/>
    <n v="19"/>
    <n v="44"/>
  </r>
  <r>
    <x v="269"/>
    <x v="14"/>
    <x v="2"/>
    <x v="1"/>
    <x v="0"/>
    <n v="82"/>
    <n v="58"/>
  </r>
  <r>
    <x v="269"/>
    <x v="0"/>
    <x v="0"/>
    <x v="1"/>
    <x v="1"/>
    <n v="11"/>
    <n v="52"/>
  </r>
  <r>
    <x v="269"/>
    <x v="13"/>
    <x v="0"/>
    <x v="1"/>
    <x v="1"/>
    <n v="74"/>
    <n v="150"/>
  </r>
  <r>
    <x v="269"/>
    <x v="6"/>
    <x v="0"/>
    <x v="1"/>
    <x v="1"/>
    <n v="53"/>
    <n v="55"/>
  </r>
  <r>
    <x v="269"/>
    <x v="0"/>
    <x v="0"/>
    <x v="0"/>
    <x v="2"/>
    <n v="87"/>
    <n v="20"/>
  </r>
  <r>
    <x v="269"/>
    <x v="13"/>
    <x v="0"/>
    <x v="0"/>
    <x v="1"/>
    <n v="58"/>
    <n v="86"/>
  </r>
  <r>
    <x v="269"/>
    <x v="2"/>
    <x v="0"/>
    <x v="0"/>
    <x v="2"/>
    <n v="86"/>
    <n v="143"/>
  </r>
  <r>
    <x v="269"/>
    <x v="6"/>
    <x v="0"/>
    <x v="1"/>
    <x v="0"/>
    <n v="99"/>
    <n v="75"/>
  </r>
  <r>
    <x v="269"/>
    <x v="0"/>
    <x v="0"/>
    <x v="1"/>
    <x v="0"/>
    <n v="88"/>
    <n v="93"/>
  </r>
  <r>
    <x v="270"/>
    <x v="13"/>
    <x v="0"/>
    <x v="0"/>
    <x v="2"/>
    <n v="22"/>
    <n v="147"/>
  </r>
  <r>
    <x v="270"/>
    <x v="8"/>
    <x v="2"/>
    <x v="1"/>
    <x v="1"/>
    <n v="90"/>
    <n v="98"/>
  </r>
  <r>
    <x v="270"/>
    <x v="1"/>
    <x v="1"/>
    <x v="0"/>
    <x v="1"/>
    <n v="70"/>
    <n v="38"/>
  </r>
  <r>
    <x v="270"/>
    <x v="1"/>
    <x v="1"/>
    <x v="1"/>
    <x v="2"/>
    <n v="98"/>
    <n v="108"/>
  </r>
  <r>
    <x v="270"/>
    <x v="14"/>
    <x v="2"/>
    <x v="1"/>
    <x v="2"/>
    <n v="16"/>
    <n v="124"/>
  </r>
  <r>
    <x v="271"/>
    <x v="11"/>
    <x v="1"/>
    <x v="0"/>
    <x v="0"/>
    <n v="37"/>
    <n v="112"/>
  </r>
  <r>
    <x v="271"/>
    <x v="2"/>
    <x v="0"/>
    <x v="0"/>
    <x v="1"/>
    <n v="78"/>
    <n v="121"/>
  </r>
  <r>
    <x v="271"/>
    <x v="7"/>
    <x v="1"/>
    <x v="1"/>
    <x v="1"/>
    <n v="39"/>
    <n v="45"/>
  </r>
  <r>
    <x v="271"/>
    <x v="11"/>
    <x v="1"/>
    <x v="0"/>
    <x v="2"/>
    <n v="94"/>
    <n v="76"/>
  </r>
  <r>
    <x v="272"/>
    <x v="11"/>
    <x v="1"/>
    <x v="0"/>
    <x v="1"/>
    <n v="72"/>
    <n v="104"/>
  </r>
  <r>
    <x v="272"/>
    <x v="13"/>
    <x v="0"/>
    <x v="0"/>
    <x v="2"/>
    <n v="40"/>
    <n v="105"/>
  </r>
  <r>
    <x v="272"/>
    <x v="13"/>
    <x v="0"/>
    <x v="1"/>
    <x v="2"/>
    <n v="54"/>
    <n v="24"/>
  </r>
  <r>
    <x v="272"/>
    <x v="0"/>
    <x v="0"/>
    <x v="1"/>
    <x v="0"/>
    <n v="31"/>
    <n v="25"/>
  </r>
  <r>
    <x v="272"/>
    <x v="12"/>
    <x v="2"/>
    <x v="1"/>
    <x v="1"/>
    <n v="41"/>
    <n v="113"/>
  </r>
  <r>
    <x v="272"/>
    <x v="11"/>
    <x v="1"/>
    <x v="1"/>
    <x v="0"/>
    <n v="77"/>
    <n v="48"/>
  </r>
  <r>
    <x v="273"/>
    <x v="9"/>
    <x v="2"/>
    <x v="1"/>
    <x v="0"/>
    <n v="95"/>
    <n v="45"/>
  </r>
  <r>
    <x v="273"/>
    <x v="5"/>
    <x v="0"/>
    <x v="1"/>
    <x v="1"/>
    <n v="78"/>
    <n v="139"/>
  </r>
  <r>
    <x v="273"/>
    <x v="4"/>
    <x v="1"/>
    <x v="0"/>
    <x v="1"/>
    <n v="59"/>
    <n v="50"/>
  </r>
  <r>
    <x v="273"/>
    <x v="11"/>
    <x v="1"/>
    <x v="0"/>
    <x v="0"/>
    <n v="55"/>
    <n v="66"/>
  </r>
  <r>
    <x v="274"/>
    <x v="13"/>
    <x v="0"/>
    <x v="0"/>
    <x v="1"/>
    <n v="40"/>
    <n v="43"/>
  </r>
  <r>
    <x v="274"/>
    <x v="0"/>
    <x v="0"/>
    <x v="1"/>
    <x v="1"/>
    <n v="82"/>
    <n v="83"/>
  </r>
  <r>
    <x v="274"/>
    <x v="6"/>
    <x v="0"/>
    <x v="0"/>
    <x v="0"/>
    <n v="49"/>
    <n v="119"/>
  </r>
  <r>
    <x v="274"/>
    <x v="1"/>
    <x v="1"/>
    <x v="1"/>
    <x v="0"/>
    <n v="41"/>
    <n v="138"/>
  </r>
  <r>
    <x v="274"/>
    <x v="4"/>
    <x v="1"/>
    <x v="1"/>
    <x v="1"/>
    <n v="66"/>
    <n v="61"/>
  </r>
  <r>
    <x v="274"/>
    <x v="5"/>
    <x v="0"/>
    <x v="1"/>
    <x v="2"/>
    <n v="48"/>
    <n v="28"/>
  </r>
  <r>
    <x v="274"/>
    <x v="12"/>
    <x v="2"/>
    <x v="1"/>
    <x v="0"/>
    <n v="57"/>
    <n v="21"/>
  </r>
  <r>
    <x v="275"/>
    <x v="10"/>
    <x v="1"/>
    <x v="0"/>
    <x v="2"/>
    <n v="56"/>
    <n v="64"/>
  </r>
  <r>
    <x v="275"/>
    <x v="9"/>
    <x v="2"/>
    <x v="0"/>
    <x v="1"/>
    <n v="72"/>
    <n v="88"/>
  </r>
  <r>
    <x v="275"/>
    <x v="2"/>
    <x v="0"/>
    <x v="0"/>
    <x v="2"/>
    <n v="90"/>
    <n v="33"/>
  </r>
  <r>
    <x v="275"/>
    <x v="9"/>
    <x v="2"/>
    <x v="1"/>
    <x v="2"/>
    <n v="15"/>
    <n v="30"/>
  </r>
  <r>
    <x v="276"/>
    <x v="12"/>
    <x v="2"/>
    <x v="1"/>
    <x v="0"/>
    <n v="21"/>
    <n v="44"/>
  </r>
  <r>
    <x v="276"/>
    <x v="12"/>
    <x v="2"/>
    <x v="1"/>
    <x v="2"/>
    <n v="11"/>
    <n v="105"/>
  </r>
  <r>
    <x v="276"/>
    <x v="2"/>
    <x v="0"/>
    <x v="1"/>
    <x v="2"/>
    <n v="86"/>
    <n v="48"/>
  </r>
  <r>
    <x v="277"/>
    <x v="0"/>
    <x v="0"/>
    <x v="1"/>
    <x v="1"/>
    <n v="46"/>
    <n v="36"/>
  </r>
  <r>
    <x v="277"/>
    <x v="2"/>
    <x v="0"/>
    <x v="0"/>
    <x v="0"/>
    <n v="51"/>
    <n v="102"/>
  </r>
  <r>
    <x v="277"/>
    <x v="11"/>
    <x v="1"/>
    <x v="0"/>
    <x v="2"/>
    <n v="24"/>
    <n v="40"/>
  </r>
  <r>
    <x v="277"/>
    <x v="1"/>
    <x v="1"/>
    <x v="1"/>
    <x v="1"/>
    <n v="84"/>
    <n v="140"/>
  </r>
  <r>
    <x v="277"/>
    <x v="14"/>
    <x v="2"/>
    <x v="1"/>
    <x v="2"/>
    <n v="34"/>
    <n v="20"/>
  </r>
  <r>
    <x v="277"/>
    <x v="2"/>
    <x v="0"/>
    <x v="1"/>
    <x v="0"/>
    <n v="34"/>
    <n v="105"/>
  </r>
  <r>
    <x v="278"/>
    <x v="1"/>
    <x v="1"/>
    <x v="0"/>
    <x v="1"/>
    <n v="71"/>
    <n v="117"/>
  </r>
  <r>
    <x v="278"/>
    <x v="3"/>
    <x v="2"/>
    <x v="1"/>
    <x v="2"/>
    <n v="44"/>
    <n v="84"/>
  </r>
  <r>
    <x v="278"/>
    <x v="5"/>
    <x v="0"/>
    <x v="0"/>
    <x v="1"/>
    <n v="72"/>
    <n v="99"/>
  </r>
  <r>
    <x v="278"/>
    <x v="9"/>
    <x v="2"/>
    <x v="1"/>
    <x v="2"/>
    <n v="63"/>
    <n v="62"/>
  </r>
  <r>
    <x v="279"/>
    <x v="12"/>
    <x v="2"/>
    <x v="0"/>
    <x v="0"/>
    <n v="57"/>
    <n v="69"/>
  </r>
  <r>
    <x v="279"/>
    <x v="2"/>
    <x v="0"/>
    <x v="0"/>
    <x v="0"/>
    <n v="27"/>
    <n v="108"/>
  </r>
  <r>
    <x v="279"/>
    <x v="14"/>
    <x v="2"/>
    <x v="1"/>
    <x v="2"/>
    <n v="71"/>
    <n v="34"/>
  </r>
  <r>
    <x v="279"/>
    <x v="13"/>
    <x v="0"/>
    <x v="1"/>
    <x v="1"/>
    <n v="96"/>
    <n v="60"/>
  </r>
  <r>
    <x v="279"/>
    <x v="5"/>
    <x v="0"/>
    <x v="1"/>
    <x v="2"/>
    <n v="86"/>
    <n v="32"/>
  </r>
  <r>
    <x v="279"/>
    <x v="0"/>
    <x v="0"/>
    <x v="1"/>
    <x v="0"/>
    <n v="98"/>
    <n v="100"/>
  </r>
  <r>
    <x v="279"/>
    <x v="6"/>
    <x v="0"/>
    <x v="0"/>
    <x v="0"/>
    <n v="75"/>
    <n v="110"/>
  </r>
  <r>
    <x v="279"/>
    <x v="7"/>
    <x v="1"/>
    <x v="0"/>
    <x v="2"/>
    <n v="90"/>
    <n v="58"/>
  </r>
  <r>
    <x v="280"/>
    <x v="1"/>
    <x v="1"/>
    <x v="1"/>
    <x v="0"/>
    <n v="82"/>
    <n v="25"/>
  </r>
  <r>
    <x v="280"/>
    <x v="10"/>
    <x v="1"/>
    <x v="1"/>
    <x v="0"/>
    <n v="83"/>
    <n v="82"/>
  </r>
  <r>
    <x v="280"/>
    <x v="4"/>
    <x v="1"/>
    <x v="0"/>
    <x v="0"/>
    <n v="20"/>
    <n v="110"/>
  </r>
  <r>
    <x v="280"/>
    <x v="10"/>
    <x v="1"/>
    <x v="0"/>
    <x v="2"/>
    <n v="13"/>
    <n v="96"/>
  </r>
  <r>
    <x v="280"/>
    <x v="6"/>
    <x v="0"/>
    <x v="1"/>
    <x v="0"/>
    <n v="85"/>
    <n v="75"/>
  </r>
  <r>
    <x v="280"/>
    <x v="1"/>
    <x v="1"/>
    <x v="0"/>
    <x v="1"/>
    <n v="81"/>
    <n v="126"/>
  </r>
  <r>
    <x v="280"/>
    <x v="8"/>
    <x v="2"/>
    <x v="0"/>
    <x v="0"/>
    <n v="29"/>
    <n v="52"/>
  </r>
  <r>
    <x v="280"/>
    <x v="3"/>
    <x v="2"/>
    <x v="0"/>
    <x v="1"/>
    <n v="59"/>
    <n v="74"/>
  </r>
  <r>
    <x v="281"/>
    <x v="13"/>
    <x v="0"/>
    <x v="0"/>
    <x v="1"/>
    <n v="30"/>
    <n v="32"/>
  </r>
  <r>
    <x v="281"/>
    <x v="13"/>
    <x v="0"/>
    <x v="1"/>
    <x v="1"/>
    <n v="61"/>
    <n v="84"/>
  </r>
  <r>
    <x v="281"/>
    <x v="7"/>
    <x v="1"/>
    <x v="1"/>
    <x v="1"/>
    <n v="41"/>
    <n v="124"/>
  </r>
  <r>
    <x v="281"/>
    <x v="7"/>
    <x v="1"/>
    <x v="1"/>
    <x v="2"/>
    <n v="93"/>
    <n v="141"/>
  </r>
  <r>
    <x v="281"/>
    <x v="3"/>
    <x v="2"/>
    <x v="0"/>
    <x v="2"/>
    <n v="67"/>
    <n v="30"/>
  </r>
  <r>
    <x v="281"/>
    <x v="12"/>
    <x v="2"/>
    <x v="0"/>
    <x v="2"/>
    <n v="67"/>
    <n v="130"/>
  </r>
  <r>
    <x v="281"/>
    <x v="4"/>
    <x v="1"/>
    <x v="0"/>
    <x v="0"/>
    <n v="87"/>
    <n v="85"/>
  </r>
  <r>
    <x v="282"/>
    <x v="5"/>
    <x v="0"/>
    <x v="0"/>
    <x v="1"/>
    <n v="57"/>
    <n v="131"/>
  </r>
  <r>
    <x v="282"/>
    <x v="7"/>
    <x v="1"/>
    <x v="1"/>
    <x v="1"/>
    <n v="59"/>
    <n v="80"/>
  </r>
  <r>
    <x v="282"/>
    <x v="13"/>
    <x v="0"/>
    <x v="0"/>
    <x v="0"/>
    <n v="66"/>
    <n v="62"/>
  </r>
  <r>
    <x v="282"/>
    <x v="8"/>
    <x v="2"/>
    <x v="0"/>
    <x v="2"/>
    <n v="54"/>
    <n v="81"/>
  </r>
  <r>
    <x v="282"/>
    <x v="9"/>
    <x v="2"/>
    <x v="0"/>
    <x v="2"/>
    <n v="98"/>
    <n v="37"/>
  </r>
  <r>
    <x v="282"/>
    <x v="3"/>
    <x v="2"/>
    <x v="1"/>
    <x v="0"/>
    <n v="35"/>
    <n v="114"/>
  </r>
  <r>
    <x v="282"/>
    <x v="12"/>
    <x v="2"/>
    <x v="0"/>
    <x v="0"/>
    <n v="25"/>
    <n v="89"/>
  </r>
  <r>
    <x v="282"/>
    <x v="8"/>
    <x v="2"/>
    <x v="0"/>
    <x v="1"/>
    <n v="25"/>
    <n v="97"/>
  </r>
  <r>
    <x v="282"/>
    <x v="2"/>
    <x v="0"/>
    <x v="1"/>
    <x v="2"/>
    <n v="61"/>
    <n v="96"/>
  </r>
  <r>
    <x v="282"/>
    <x v="8"/>
    <x v="2"/>
    <x v="1"/>
    <x v="0"/>
    <n v="36"/>
    <n v="61"/>
  </r>
  <r>
    <x v="283"/>
    <x v="4"/>
    <x v="1"/>
    <x v="1"/>
    <x v="0"/>
    <n v="75"/>
    <n v="104"/>
  </r>
  <r>
    <x v="283"/>
    <x v="12"/>
    <x v="2"/>
    <x v="0"/>
    <x v="2"/>
    <n v="69"/>
    <n v="36"/>
  </r>
  <r>
    <x v="283"/>
    <x v="7"/>
    <x v="1"/>
    <x v="1"/>
    <x v="1"/>
    <n v="73"/>
    <n v="94"/>
  </r>
  <r>
    <x v="283"/>
    <x v="5"/>
    <x v="0"/>
    <x v="1"/>
    <x v="2"/>
    <n v="47"/>
    <n v="148"/>
  </r>
  <r>
    <x v="283"/>
    <x v="2"/>
    <x v="0"/>
    <x v="0"/>
    <x v="1"/>
    <n v="30"/>
    <n v="99"/>
  </r>
  <r>
    <x v="283"/>
    <x v="11"/>
    <x v="1"/>
    <x v="1"/>
    <x v="1"/>
    <n v="58"/>
    <n v="121"/>
  </r>
  <r>
    <x v="283"/>
    <x v="1"/>
    <x v="1"/>
    <x v="0"/>
    <x v="2"/>
    <n v="86"/>
    <n v="61"/>
  </r>
  <r>
    <x v="283"/>
    <x v="2"/>
    <x v="0"/>
    <x v="1"/>
    <x v="1"/>
    <n v="58"/>
    <n v="44"/>
  </r>
  <r>
    <x v="283"/>
    <x v="6"/>
    <x v="0"/>
    <x v="1"/>
    <x v="2"/>
    <n v="89"/>
    <n v="31"/>
  </r>
  <r>
    <x v="283"/>
    <x v="10"/>
    <x v="1"/>
    <x v="0"/>
    <x v="2"/>
    <n v="68"/>
    <n v="77"/>
  </r>
  <r>
    <x v="283"/>
    <x v="12"/>
    <x v="2"/>
    <x v="1"/>
    <x v="2"/>
    <n v="89"/>
    <n v="122"/>
  </r>
  <r>
    <x v="283"/>
    <x v="1"/>
    <x v="1"/>
    <x v="1"/>
    <x v="0"/>
    <n v="70"/>
    <n v="83"/>
  </r>
  <r>
    <x v="283"/>
    <x v="2"/>
    <x v="0"/>
    <x v="1"/>
    <x v="0"/>
    <n v="75"/>
    <n v="144"/>
  </r>
  <r>
    <x v="283"/>
    <x v="6"/>
    <x v="0"/>
    <x v="1"/>
    <x v="2"/>
    <n v="28"/>
    <n v="75"/>
  </r>
  <r>
    <x v="283"/>
    <x v="7"/>
    <x v="1"/>
    <x v="1"/>
    <x v="2"/>
    <n v="64"/>
    <n v="30"/>
  </r>
  <r>
    <x v="284"/>
    <x v="13"/>
    <x v="0"/>
    <x v="1"/>
    <x v="0"/>
    <n v="88"/>
    <n v="116"/>
  </r>
  <r>
    <x v="284"/>
    <x v="13"/>
    <x v="0"/>
    <x v="1"/>
    <x v="1"/>
    <n v="64"/>
    <n v="53"/>
  </r>
  <r>
    <x v="284"/>
    <x v="2"/>
    <x v="0"/>
    <x v="0"/>
    <x v="0"/>
    <n v="38"/>
    <n v="121"/>
  </r>
  <r>
    <x v="284"/>
    <x v="14"/>
    <x v="2"/>
    <x v="0"/>
    <x v="2"/>
    <n v="98"/>
    <n v="73"/>
  </r>
  <r>
    <x v="284"/>
    <x v="11"/>
    <x v="1"/>
    <x v="1"/>
    <x v="0"/>
    <n v="19"/>
    <n v="113"/>
  </r>
  <r>
    <x v="284"/>
    <x v="2"/>
    <x v="0"/>
    <x v="1"/>
    <x v="0"/>
    <n v="52"/>
    <n v="148"/>
  </r>
  <r>
    <x v="285"/>
    <x v="2"/>
    <x v="0"/>
    <x v="1"/>
    <x v="1"/>
    <n v="20"/>
    <n v="25"/>
  </r>
  <r>
    <x v="285"/>
    <x v="11"/>
    <x v="1"/>
    <x v="1"/>
    <x v="0"/>
    <n v="85"/>
    <n v="90"/>
  </r>
  <r>
    <x v="285"/>
    <x v="0"/>
    <x v="0"/>
    <x v="0"/>
    <x v="0"/>
    <n v="54"/>
    <n v="71"/>
  </r>
  <r>
    <x v="285"/>
    <x v="2"/>
    <x v="0"/>
    <x v="1"/>
    <x v="1"/>
    <n v="54"/>
    <n v="73"/>
  </r>
  <r>
    <x v="285"/>
    <x v="5"/>
    <x v="0"/>
    <x v="0"/>
    <x v="2"/>
    <n v="91"/>
    <n v="116"/>
  </r>
  <r>
    <x v="285"/>
    <x v="6"/>
    <x v="0"/>
    <x v="1"/>
    <x v="0"/>
    <n v="78"/>
    <n v="58"/>
  </r>
  <r>
    <x v="286"/>
    <x v="9"/>
    <x v="2"/>
    <x v="0"/>
    <x v="2"/>
    <n v="38"/>
    <n v="149"/>
  </r>
  <r>
    <x v="286"/>
    <x v="7"/>
    <x v="1"/>
    <x v="0"/>
    <x v="2"/>
    <n v="10"/>
    <n v="132"/>
  </r>
  <r>
    <x v="286"/>
    <x v="9"/>
    <x v="2"/>
    <x v="1"/>
    <x v="0"/>
    <n v="94"/>
    <n v="93"/>
  </r>
  <r>
    <x v="286"/>
    <x v="3"/>
    <x v="2"/>
    <x v="0"/>
    <x v="0"/>
    <n v="22"/>
    <n v="97"/>
  </r>
  <r>
    <x v="286"/>
    <x v="14"/>
    <x v="2"/>
    <x v="1"/>
    <x v="2"/>
    <n v="40"/>
    <n v="38"/>
  </r>
  <r>
    <x v="286"/>
    <x v="3"/>
    <x v="2"/>
    <x v="0"/>
    <x v="1"/>
    <n v="12"/>
    <n v="126"/>
  </r>
  <r>
    <x v="286"/>
    <x v="3"/>
    <x v="2"/>
    <x v="1"/>
    <x v="0"/>
    <n v="31"/>
    <n v="29"/>
  </r>
  <r>
    <x v="287"/>
    <x v="5"/>
    <x v="0"/>
    <x v="0"/>
    <x v="2"/>
    <n v="18"/>
    <n v="137"/>
  </r>
  <r>
    <x v="287"/>
    <x v="14"/>
    <x v="2"/>
    <x v="0"/>
    <x v="2"/>
    <n v="98"/>
    <n v="76"/>
  </r>
  <r>
    <x v="287"/>
    <x v="11"/>
    <x v="1"/>
    <x v="0"/>
    <x v="0"/>
    <n v="67"/>
    <n v="105"/>
  </r>
  <r>
    <x v="287"/>
    <x v="12"/>
    <x v="2"/>
    <x v="1"/>
    <x v="1"/>
    <n v="35"/>
    <n v="70"/>
  </r>
  <r>
    <x v="287"/>
    <x v="7"/>
    <x v="1"/>
    <x v="1"/>
    <x v="1"/>
    <n v="35"/>
    <n v="131"/>
  </r>
  <r>
    <x v="287"/>
    <x v="13"/>
    <x v="0"/>
    <x v="1"/>
    <x v="2"/>
    <n v="87"/>
    <n v="131"/>
  </r>
  <r>
    <x v="287"/>
    <x v="0"/>
    <x v="0"/>
    <x v="1"/>
    <x v="1"/>
    <n v="84"/>
    <n v="146"/>
  </r>
  <r>
    <x v="287"/>
    <x v="2"/>
    <x v="0"/>
    <x v="1"/>
    <x v="0"/>
    <n v="91"/>
    <n v="105"/>
  </r>
  <r>
    <x v="287"/>
    <x v="4"/>
    <x v="1"/>
    <x v="1"/>
    <x v="0"/>
    <n v="39"/>
    <n v="117"/>
  </r>
  <r>
    <x v="288"/>
    <x v="8"/>
    <x v="2"/>
    <x v="1"/>
    <x v="0"/>
    <n v="84"/>
    <n v="58"/>
  </r>
  <r>
    <x v="288"/>
    <x v="6"/>
    <x v="0"/>
    <x v="0"/>
    <x v="1"/>
    <n v="41"/>
    <n v="68"/>
  </r>
  <r>
    <x v="288"/>
    <x v="13"/>
    <x v="0"/>
    <x v="1"/>
    <x v="2"/>
    <n v="80"/>
    <n v="64"/>
  </r>
  <r>
    <x v="288"/>
    <x v="14"/>
    <x v="2"/>
    <x v="0"/>
    <x v="1"/>
    <n v="94"/>
    <n v="41"/>
  </r>
  <r>
    <x v="288"/>
    <x v="10"/>
    <x v="1"/>
    <x v="0"/>
    <x v="1"/>
    <n v="44"/>
    <n v="98"/>
  </r>
  <r>
    <x v="288"/>
    <x v="8"/>
    <x v="2"/>
    <x v="1"/>
    <x v="2"/>
    <n v="29"/>
    <n v="65"/>
  </r>
  <r>
    <x v="288"/>
    <x v="10"/>
    <x v="1"/>
    <x v="1"/>
    <x v="0"/>
    <n v="81"/>
    <n v="55"/>
  </r>
  <r>
    <x v="288"/>
    <x v="7"/>
    <x v="1"/>
    <x v="1"/>
    <x v="1"/>
    <n v="95"/>
    <n v="96"/>
  </r>
  <r>
    <x v="288"/>
    <x v="5"/>
    <x v="0"/>
    <x v="0"/>
    <x v="1"/>
    <n v="40"/>
    <n v="71"/>
  </r>
  <r>
    <x v="289"/>
    <x v="8"/>
    <x v="2"/>
    <x v="1"/>
    <x v="1"/>
    <n v="35"/>
    <n v="56"/>
  </r>
  <r>
    <x v="289"/>
    <x v="1"/>
    <x v="1"/>
    <x v="1"/>
    <x v="1"/>
    <n v="12"/>
    <n v="38"/>
  </r>
  <r>
    <x v="289"/>
    <x v="9"/>
    <x v="2"/>
    <x v="1"/>
    <x v="2"/>
    <n v="60"/>
    <n v="59"/>
  </r>
  <r>
    <x v="289"/>
    <x v="0"/>
    <x v="0"/>
    <x v="1"/>
    <x v="1"/>
    <n v="56"/>
    <n v="71"/>
  </r>
  <r>
    <x v="289"/>
    <x v="12"/>
    <x v="2"/>
    <x v="1"/>
    <x v="0"/>
    <n v="80"/>
    <n v="118"/>
  </r>
  <r>
    <x v="290"/>
    <x v="1"/>
    <x v="1"/>
    <x v="0"/>
    <x v="0"/>
    <n v="23"/>
    <n v="93"/>
  </r>
  <r>
    <x v="290"/>
    <x v="5"/>
    <x v="0"/>
    <x v="1"/>
    <x v="1"/>
    <n v="28"/>
    <n v="107"/>
  </r>
  <r>
    <x v="290"/>
    <x v="13"/>
    <x v="0"/>
    <x v="1"/>
    <x v="1"/>
    <n v="24"/>
    <n v="99"/>
  </r>
  <r>
    <x v="290"/>
    <x v="14"/>
    <x v="2"/>
    <x v="1"/>
    <x v="2"/>
    <n v="50"/>
    <n v="136"/>
  </r>
  <r>
    <x v="290"/>
    <x v="7"/>
    <x v="1"/>
    <x v="0"/>
    <x v="1"/>
    <n v="55"/>
    <n v="141"/>
  </r>
  <r>
    <x v="290"/>
    <x v="14"/>
    <x v="2"/>
    <x v="0"/>
    <x v="0"/>
    <n v="19"/>
    <n v="77"/>
  </r>
  <r>
    <x v="291"/>
    <x v="12"/>
    <x v="2"/>
    <x v="1"/>
    <x v="1"/>
    <n v="10"/>
    <n v="91"/>
  </r>
  <r>
    <x v="291"/>
    <x v="1"/>
    <x v="1"/>
    <x v="1"/>
    <x v="0"/>
    <n v="67"/>
    <n v="133"/>
  </r>
  <r>
    <x v="291"/>
    <x v="9"/>
    <x v="2"/>
    <x v="1"/>
    <x v="2"/>
    <n v="26"/>
    <n v="115"/>
  </r>
  <r>
    <x v="291"/>
    <x v="4"/>
    <x v="1"/>
    <x v="0"/>
    <x v="2"/>
    <n v="10"/>
    <n v="140"/>
  </r>
  <r>
    <x v="291"/>
    <x v="8"/>
    <x v="2"/>
    <x v="0"/>
    <x v="1"/>
    <n v="10"/>
    <n v="135"/>
  </r>
  <r>
    <x v="292"/>
    <x v="9"/>
    <x v="2"/>
    <x v="1"/>
    <x v="0"/>
    <n v="26"/>
    <n v="137"/>
  </r>
  <r>
    <x v="292"/>
    <x v="5"/>
    <x v="0"/>
    <x v="0"/>
    <x v="1"/>
    <n v="56"/>
    <n v="24"/>
  </r>
  <r>
    <x v="292"/>
    <x v="9"/>
    <x v="2"/>
    <x v="0"/>
    <x v="2"/>
    <n v="13"/>
    <n v="103"/>
  </r>
  <r>
    <x v="292"/>
    <x v="6"/>
    <x v="0"/>
    <x v="0"/>
    <x v="2"/>
    <n v="83"/>
    <n v="127"/>
  </r>
  <r>
    <x v="292"/>
    <x v="14"/>
    <x v="2"/>
    <x v="1"/>
    <x v="1"/>
    <n v="28"/>
    <n v="132"/>
  </r>
  <r>
    <x v="292"/>
    <x v="4"/>
    <x v="1"/>
    <x v="0"/>
    <x v="2"/>
    <n v="67"/>
    <n v="42"/>
  </r>
  <r>
    <x v="292"/>
    <x v="1"/>
    <x v="1"/>
    <x v="1"/>
    <x v="0"/>
    <n v="43"/>
    <n v="120"/>
  </r>
  <r>
    <x v="292"/>
    <x v="9"/>
    <x v="2"/>
    <x v="0"/>
    <x v="2"/>
    <n v="19"/>
    <n v="51"/>
  </r>
  <r>
    <x v="292"/>
    <x v="2"/>
    <x v="0"/>
    <x v="1"/>
    <x v="1"/>
    <n v="27"/>
    <n v="115"/>
  </r>
  <r>
    <x v="293"/>
    <x v="0"/>
    <x v="0"/>
    <x v="1"/>
    <x v="0"/>
    <n v="57"/>
    <n v="68"/>
  </r>
  <r>
    <x v="293"/>
    <x v="11"/>
    <x v="1"/>
    <x v="1"/>
    <x v="2"/>
    <n v="68"/>
    <n v="131"/>
  </r>
  <r>
    <x v="293"/>
    <x v="8"/>
    <x v="2"/>
    <x v="0"/>
    <x v="0"/>
    <n v="98"/>
    <n v="39"/>
  </r>
  <r>
    <x v="293"/>
    <x v="7"/>
    <x v="1"/>
    <x v="0"/>
    <x v="0"/>
    <n v="65"/>
    <n v="110"/>
  </r>
  <r>
    <x v="293"/>
    <x v="12"/>
    <x v="2"/>
    <x v="0"/>
    <x v="2"/>
    <n v="26"/>
    <n v="25"/>
  </r>
  <r>
    <x v="293"/>
    <x v="3"/>
    <x v="2"/>
    <x v="1"/>
    <x v="2"/>
    <n v="19"/>
    <n v="22"/>
  </r>
  <r>
    <x v="293"/>
    <x v="0"/>
    <x v="0"/>
    <x v="0"/>
    <x v="0"/>
    <n v="99"/>
    <n v="70"/>
  </r>
  <r>
    <x v="294"/>
    <x v="9"/>
    <x v="2"/>
    <x v="0"/>
    <x v="1"/>
    <n v="95"/>
    <n v="97"/>
  </r>
  <r>
    <x v="294"/>
    <x v="8"/>
    <x v="2"/>
    <x v="0"/>
    <x v="0"/>
    <n v="37"/>
    <n v="69"/>
  </r>
  <r>
    <x v="294"/>
    <x v="6"/>
    <x v="0"/>
    <x v="0"/>
    <x v="2"/>
    <n v="20"/>
    <n v="126"/>
  </r>
  <r>
    <x v="294"/>
    <x v="7"/>
    <x v="1"/>
    <x v="1"/>
    <x v="2"/>
    <n v="100"/>
    <n v="71"/>
  </r>
  <r>
    <x v="294"/>
    <x v="4"/>
    <x v="1"/>
    <x v="0"/>
    <x v="0"/>
    <n v="36"/>
    <n v="47"/>
  </r>
  <r>
    <x v="294"/>
    <x v="9"/>
    <x v="2"/>
    <x v="0"/>
    <x v="1"/>
    <n v="59"/>
    <n v="144"/>
  </r>
  <r>
    <x v="295"/>
    <x v="6"/>
    <x v="0"/>
    <x v="0"/>
    <x v="1"/>
    <n v="86"/>
    <n v="36"/>
  </r>
  <r>
    <x v="295"/>
    <x v="2"/>
    <x v="0"/>
    <x v="0"/>
    <x v="0"/>
    <n v="20"/>
    <n v="41"/>
  </r>
  <r>
    <x v="295"/>
    <x v="9"/>
    <x v="2"/>
    <x v="1"/>
    <x v="0"/>
    <n v="94"/>
    <n v="79"/>
  </r>
  <r>
    <x v="295"/>
    <x v="3"/>
    <x v="2"/>
    <x v="0"/>
    <x v="0"/>
    <n v="77"/>
    <n v="69"/>
  </r>
  <r>
    <x v="295"/>
    <x v="12"/>
    <x v="2"/>
    <x v="0"/>
    <x v="1"/>
    <n v="51"/>
    <n v="79"/>
  </r>
  <r>
    <x v="295"/>
    <x v="9"/>
    <x v="2"/>
    <x v="0"/>
    <x v="2"/>
    <n v="31"/>
    <n v="39"/>
  </r>
  <r>
    <x v="295"/>
    <x v="14"/>
    <x v="2"/>
    <x v="1"/>
    <x v="2"/>
    <n v="63"/>
    <n v="38"/>
  </r>
  <r>
    <x v="295"/>
    <x v="7"/>
    <x v="1"/>
    <x v="0"/>
    <x v="0"/>
    <n v="91"/>
    <n v="79"/>
  </r>
  <r>
    <x v="295"/>
    <x v="6"/>
    <x v="0"/>
    <x v="0"/>
    <x v="2"/>
    <n v="11"/>
    <n v="127"/>
  </r>
  <r>
    <x v="296"/>
    <x v="12"/>
    <x v="2"/>
    <x v="1"/>
    <x v="0"/>
    <n v="43"/>
    <n v="46"/>
  </r>
  <r>
    <x v="296"/>
    <x v="14"/>
    <x v="2"/>
    <x v="0"/>
    <x v="2"/>
    <n v="60"/>
    <n v="114"/>
  </r>
  <r>
    <x v="296"/>
    <x v="1"/>
    <x v="1"/>
    <x v="0"/>
    <x v="2"/>
    <n v="65"/>
    <n v="36"/>
  </r>
  <r>
    <x v="296"/>
    <x v="9"/>
    <x v="2"/>
    <x v="0"/>
    <x v="2"/>
    <n v="66"/>
    <n v="92"/>
  </r>
  <r>
    <x v="296"/>
    <x v="4"/>
    <x v="1"/>
    <x v="0"/>
    <x v="2"/>
    <n v="20"/>
    <n v="129"/>
  </r>
  <r>
    <x v="297"/>
    <x v="6"/>
    <x v="0"/>
    <x v="1"/>
    <x v="0"/>
    <n v="94"/>
    <n v="128"/>
  </r>
  <r>
    <x v="297"/>
    <x v="3"/>
    <x v="2"/>
    <x v="0"/>
    <x v="1"/>
    <n v="27"/>
    <n v="126"/>
  </r>
  <r>
    <x v="297"/>
    <x v="2"/>
    <x v="0"/>
    <x v="1"/>
    <x v="2"/>
    <n v="14"/>
    <n v="140"/>
  </r>
  <r>
    <x v="297"/>
    <x v="7"/>
    <x v="1"/>
    <x v="0"/>
    <x v="1"/>
    <n v="24"/>
    <n v="135"/>
  </r>
  <r>
    <x v="297"/>
    <x v="2"/>
    <x v="0"/>
    <x v="1"/>
    <x v="0"/>
    <n v="77"/>
    <n v="71"/>
  </r>
  <r>
    <x v="297"/>
    <x v="2"/>
    <x v="0"/>
    <x v="1"/>
    <x v="0"/>
    <n v="55"/>
    <n v="37"/>
  </r>
  <r>
    <x v="298"/>
    <x v="13"/>
    <x v="0"/>
    <x v="1"/>
    <x v="2"/>
    <n v="50"/>
    <n v="124"/>
  </r>
  <r>
    <x v="298"/>
    <x v="4"/>
    <x v="1"/>
    <x v="0"/>
    <x v="1"/>
    <n v="66"/>
    <n v="87"/>
  </r>
  <r>
    <x v="298"/>
    <x v="5"/>
    <x v="0"/>
    <x v="0"/>
    <x v="0"/>
    <n v="61"/>
    <n v="91"/>
  </r>
  <r>
    <x v="298"/>
    <x v="13"/>
    <x v="0"/>
    <x v="0"/>
    <x v="2"/>
    <n v="92"/>
    <n v="140"/>
  </r>
  <r>
    <x v="298"/>
    <x v="13"/>
    <x v="0"/>
    <x v="1"/>
    <x v="1"/>
    <n v="82"/>
    <n v="49"/>
  </r>
  <r>
    <x v="298"/>
    <x v="3"/>
    <x v="2"/>
    <x v="1"/>
    <x v="2"/>
    <n v="42"/>
    <n v="44"/>
  </r>
  <r>
    <x v="299"/>
    <x v="9"/>
    <x v="2"/>
    <x v="0"/>
    <x v="0"/>
    <n v="59"/>
    <n v="102"/>
  </r>
  <r>
    <x v="299"/>
    <x v="9"/>
    <x v="2"/>
    <x v="1"/>
    <x v="0"/>
    <n v="15"/>
    <n v="121"/>
  </r>
  <r>
    <x v="299"/>
    <x v="0"/>
    <x v="0"/>
    <x v="0"/>
    <x v="1"/>
    <n v="94"/>
    <n v="80"/>
  </r>
  <r>
    <x v="299"/>
    <x v="0"/>
    <x v="0"/>
    <x v="0"/>
    <x v="0"/>
    <n v="74"/>
    <n v="114"/>
  </r>
  <r>
    <x v="299"/>
    <x v="10"/>
    <x v="1"/>
    <x v="1"/>
    <x v="2"/>
    <n v="43"/>
    <n v="35"/>
  </r>
  <r>
    <x v="299"/>
    <x v="0"/>
    <x v="0"/>
    <x v="0"/>
    <x v="1"/>
    <n v="98"/>
    <n v="69"/>
  </r>
  <r>
    <x v="299"/>
    <x v="13"/>
    <x v="0"/>
    <x v="1"/>
    <x v="2"/>
    <n v="75"/>
    <n v="40"/>
  </r>
  <r>
    <x v="299"/>
    <x v="10"/>
    <x v="1"/>
    <x v="0"/>
    <x v="1"/>
    <n v="58"/>
    <n v="60"/>
  </r>
  <r>
    <x v="300"/>
    <x v="8"/>
    <x v="2"/>
    <x v="0"/>
    <x v="2"/>
    <n v="74"/>
    <n v="49"/>
  </r>
  <r>
    <x v="300"/>
    <x v="14"/>
    <x v="2"/>
    <x v="0"/>
    <x v="2"/>
    <n v="100"/>
    <n v="68"/>
  </r>
  <r>
    <x v="300"/>
    <x v="9"/>
    <x v="2"/>
    <x v="0"/>
    <x v="0"/>
    <n v="90"/>
    <n v="77"/>
  </r>
  <r>
    <x v="300"/>
    <x v="2"/>
    <x v="0"/>
    <x v="0"/>
    <x v="0"/>
    <n v="36"/>
    <n v="66"/>
  </r>
  <r>
    <x v="300"/>
    <x v="12"/>
    <x v="2"/>
    <x v="0"/>
    <x v="0"/>
    <n v="93"/>
    <n v="94"/>
  </r>
  <r>
    <x v="300"/>
    <x v="9"/>
    <x v="2"/>
    <x v="0"/>
    <x v="2"/>
    <n v="58"/>
    <n v="21"/>
  </r>
  <r>
    <x v="301"/>
    <x v="4"/>
    <x v="1"/>
    <x v="0"/>
    <x v="0"/>
    <n v="12"/>
    <n v="59"/>
  </r>
  <r>
    <x v="301"/>
    <x v="13"/>
    <x v="0"/>
    <x v="1"/>
    <x v="1"/>
    <n v="85"/>
    <n v="70"/>
  </r>
  <r>
    <x v="301"/>
    <x v="6"/>
    <x v="0"/>
    <x v="1"/>
    <x v="0"/>
    <n v="79"/>
    <n v="66"/>
  </r>
  <r>
    <x v="301"/>
    <x v="9"/>
    <x v="2"/>
    <x v="0"/>
    <x v="2"/>
    <n v="24"/>
    <n v="89"/>
  </r>
  <r>
    <x v="301"/>
    <x v="0"/>
    <x v="0"/>
    <x v="0"/>
    <x v="0"/>
    <n v="92"/>
    <n v="65"/>
  </r>
  <r>
    <x v="302"/>
    <x v="7"/>
    <x v="1"/>
    <x v="1"/>
    <x v="0"/>
    <n v="32"/>
    <n v="122"/>
  </r>
  <r>
    <x v="302"/>
    <x v="11"/>
    <x v="1"/>
    <x v="0"/>
    <x v="0"/>
    <n v="91"/>
    <n v="150"/>
  </r>
  <r>
    <x v="302"/>
    <x v="2"/>
    <x v="0"/>
    <x v="0"/>
    <x v="2"/>
    <n v="56"/>
    <n v="36"/>
  </r>
  <r>
    <x v="302"/>
    <x v="13"/>
    <x v="0"/>
    <x v="1"/>
    <x v="2"/>
    <n v="79"/>
    <n v="46"/>
  </r>
  <r>
    <x v="302"/>
    <x v="2"/>
    <x v="0"/>
    <x v="0"/>
    <x v="0"/>
    <n v="51"/>
    <n v="134"/>
  </r>
  <r>
    <x v="302"/>
    <x v="14"/>
    <x v="2"/>
    <x v="1"/>
    <x v="0"/>
    <n v="32"/>
    <n v="49"/>
  </r>
  <r>
    <x v="302"/>
    <x v="2"/>
    <x v="0"/>
    <x v="0"/>
    <x v="1"/>
    <n v="37"/>
    <n v="20"/>
  </r>
  <r>
    <x v="303"/>
    <x v="14"/>
    <x v="2"/>
    <x v="0"/>
    <x v="1"/>
    <n v="75"/>
    <n v="75"/>
  </r>
  <r>
    <x v="303"/>
    <x v="12"/>
    <x v="2"/>
    <x v="1"/>
    <x v="2"/>
    <n v="26"/>
    <n v="41"/>
  </r>
  <r>
    <x v="303"/>
    <x v="6"/>
    <x v="0"/>
    <x v="0"/>
    <x v="2"/>
    <n v="63"/>
    <n v="97"/>
  </r>
  <r>
    <x v="303"/>
    <x v="1"/>
    <x v="1"/>
    <x v="0"/>
    <x v="1"/>
    <n v="28"/>
    <n v="71"/>
  </r>
  <r>
    <x v="303"/>
    <x v="1"/>
    <x v="1"/>
    <x v="0"/>
    <x v="1"/>
    <n v="80"/>
    <n v="109"/>
  </r>
  <r>
    <x v="304"/>
    <x v="1"/>
    <x v="1"/>
    <x v="1"/>
    <x v="0"/>
    <n v="88"/>
    <n v="32"/>
  </r>
  <r>
    <x v="304"/>
    <x v="3"/>
    <x v="2"/>
    <x v="1"/>
    <x v="1"/>
    <n v="58"/>
    <n v="127"/>
  </r>
  <r>
    <x v="304"/>
    <x v="3"/>
    <x v="2"/>
    <x v="0"/>
    <x v="1"/>
    <n v="57"/>
    <n v="75"/>
  </r>
  <r>
    <x v="304"/>
    <x v="4"/>
    <x v="1"/>
    <x v="0"/>
    <x v="2"/>
    <n v="92"/>
    <n v="31"/>
  </r>
  <r>
    <x v="304"/>
    <x v="2"/>
    <x v="0"/>
    <x v="0"/>
    <x v="1"/>
    <n v="73"/>
    <n v="86"/>
  </r>
  <r>
    <x v="304"/>
    <x v="13"/>
    <x v="0"/>
    <x v="1"/>
    <x v="2"/>
    <n v="30"/>
    <n v="81"/>
  </r>
  <r>
    <x v="304"/>
    <x v="11"/>
    <x v="1"/>
    <x v="0"/>
    <x v="2"/>
    <n v="93"/>
    <n v="128"/>
  </r>
  <r>
    <x v="305"/>
    <x v="8"/>
    <x v="2"/>
    <x v="1"/>
    <x v="0"/>
    <n v="32"/>
    <n v="135"/>
  </r>
  <r>
    <x v="305"/>
    <x v="9"/>
    <x v="2"/>
    <x v="0"/>
    <x v="1"/>
    <n v="81"/>
    <n v="62"/>
  </r>
  <r>
    <x v="305"/>
    <x v="11"/>
    <x v="1"/>
    <x v="1"/>
    <x v="1"/>
    <n v="33"/>
    <n v="100"/>
  </r>
  <r>
    <x v="305"/>
    <x v="9"/>
    <x v="2"/>
    <x v="0"/>
    <x v="0"/>
    <n v="32"/>
    <n v="70"/>
  </r>
  <r>
    <x v="305"/>
    <x v="6"/>
    <x v="0"/>
    <x v="0"/>
    <x v="0"/>
    <n v="22"/>
    <n v="86"/>
  </r>
  <r>
    <x v="305"/>
    <x v="9"/>
    <x v="2"/>
    <x v="0"/>
    <x v="2"/>
    <n v="73"/>
    <n v="43"/>
  </r>
  <r>
    <x v="305"/>
    <x v="10"/>
    <x v="1"/>
    <x v="1"/>
    <x v="0"/>
    <n v="100"/>
    <n v="82"/>
  </r>
  <r>
    <x v="306"/>
    <x v="2"/>
    <x v="0"/>
    <x v="1"/>
    <x v="1"/>
    <n v="25"/>
    <n v="140"/>
  </r>
  <r>
    <x v="306"/>
    <x v="12"/>
    <x v="2"/>
    <x v="1"/>
    <x v="2"/>
    <n v="42"/>
    <n v="21"/>
  </r>
  <r>
    <x v="306"/>
    <x v="13"/>
    <x v="0"/>
    <x v="0"/>
    <x v="2"/>
    <n v="28"/>
    <n v="47"/>
  </r>
  <r>
    <x v="307"/>
    <x v="3"/>
    <x v="2"/>
    <x v="1"/>
    <x v="0"/>
    <n v="34"/>
    <n v="68"/>
  </r>
  <r>
    <x v="307"/>
    <x v="3"/>
    <x v="2"/>
    <x v="0"/>
    <x v="1"/>
    <n v="30"/>
    <n v="119"/>
  </r>
  <r>
    <x v="307"/>
    <x v="2"/>
    <x v="0"/>
    <x v="1"/>
    <x v="2"/>
    <n v="38"/>
    <n v="68"/>
  </r>
  <r>
    <x v="307"/>
    <x v="12"/>
    <x v="2"/>
    <x v="1"/>
    <x v="0"/>
    <n v="13"/>
    <n v="119"/>
  </r>
  <r>
    <x v="308"/>
    <x v="1"/>
    <x v="1"/>
    <x v="0"/>
    <x v="0"/>
    <n v="60"/>
    <n v="31"/>
  </r>
  <r>
    <x v="308"/>
    <x v="4"/>
    <x v="1"/>
    <x v="0"/>
    <x v="1"/>
    <n v="97"/>
    <n v="68"/>
  </r>
  <r>
    <x v="308"/>
    <x v="2"/>
    <x v="0"/>
    <x v="0"/>
    <x v="2"/>
    <n v="38"/>
    <n v="117"/>
  </r>
  <r>
    <x v="308"/>
    <x v="9"/>
    <x v="2"/>
    <x v="1"/>
    <x v="2"/>
    <n v="78"/>
    <n v="112"/>
  </r>
  <r>
    <x v="308"/>
    <x v="12"/>
    <x v="2"/>
    <x v="0"/>
    <x v="2"/>
    <n v="88"/>
    <n v="133"/>
  </r>
  <r>
    <x v="309"/>
    <x v="11"/>
    <x v="1"/>
    <x v="0"/>
    <x v="2"/>
    <n v="20"/>
    <n v="124"/>
  </r>
  <r>
    <x v="309"/>
    <x v="13"/>
    <x v="0"/>
    <x v="0"/>
    <x v="1"/>
    <n v="29"/>
    <n v="140"/>
  </r>
  <r>
    <x v="309"/>
    <x v="7"/>
    <x v="1"/>
    <x v="1"/>
    <x v="0"/>
    <n v="93"/>
    <n v="60"/>
  </r>
  <r>
    <x v="309"/>
    <x v="4"/>
    <x v="1"/>
    <x v="1"/>
    <x v="1"/>
    <n v="95"/>
    <n v="63"/>
  </r>
  <r>
    <x v="309"/>
    <x v="0"/>
    <x v="0"/>
    <x v="1"/>
    <x v="1"/>
    <n v="82"/>
    <n v="64"/>
  </r>
  <r>
    <x v="309"/>
    <x v="6"/>
    <x v="0"/>
    <x v="1"/>
    <x v="1"/>
    <n v="47"/>
    <n v="130"/>
  </r>
  <r>
    <x v="310"/>
    <x v="5"/>
    <x v="0"/>
    <x v="1"/>
    <x v="0"/>
    <n v="85"/>
    <n v="34"/>
  </r>
  <r>
    <x v="310"/>
    <x v="14"/>
    <x v="2"/>
    <x v="0"/>
    <x v="0"/>
    <n v="28"/>
    <n v="90"/>
  </r>
  <r>
    <x v="310"/>
    <x v="7"/>
    <x v="1"/>
    <x v="0"/>
    <x v="0"/>
    <n v="98"/>
    <n v="124"/>
  </r>
  <r>
    <x v="310"/>
    <x v="2"/>
    <x v="0"/>
    <x v="1"/>
    <x v="2"/>
    <n v="85"/>
    <n v="46"/>
  </r>
  <r>
    <x v="310"/>
    <x v="12"/>
    <x v="2"/>
    <x v="1"/>
    <x v="0"/>
    <n v="27"/>
    <n v="91"/>
  </r>
  <r>
    <x v="310"/>
    <x v="8"/>
    <x v="2"/>
    <x v="1"/>
    <x v="2"/>
    <n v="53"/>
    <n v="82"/>
  </r>
  <r>
    <x v="310"/>
    <x v="9"/>
    <x v="2"/>
    <x v="1"/>
    <x v="1"/>
    <n v="36"/>
    <n v="68"/>
  </r>
  <r>
    <x v="310"/>
    <x v="1"/>
    <x v="1"/>
    <x v="0"/>
    <x v="2"/>
    <n v="34"/>
    <n v="149"/>
  </r>
  <r>
    <x v="310"/>
    <x v="0"/>
    <x v="0"/>
    <x v="1"/>
    <x v="2"/>
    <n v="42"/>
    <n v="100"/>
  </r>
  <r>
    <x v="310"/>
    <x v="5"/>
    <x v="0"/>
    <x v="1"/>
    <x v="1"/>
    <n v="16"/>
    <n v="149"/>
  </r>
  <r>
    <x v="310"/>
    <x v="14"/>
    <x v="2"/>
    <x v="1"/>
    <x v="0"/>
    <n v="16"/>
    <n v="75"/>
  </r>
  <r>
    <x v="311"/>
    <x v="14"/>
    <x v="2"/>
    <x v="0"/>
    <x v="1"/>
    <n v="10"/>
    <n v="48"/>
  </r>
  <r>
    <x v="311"/>
    <x v="12"/>
    <x v="2"/>
    <x v="0"/>
    <x v="1"/>
    <n v="95"/>
    <n v="42"/>
  </r>
  <r>
    <x v="311"/>
    <x v="5"/>
    <x v="0"/>
    <x v="1"/>
    <x v="2"/>
    <n v="41"/>
    <n v="64"/>
  </r>
  <r>
    <x v="311"/>
    <x v="2"/>
    <x v="0"/>
    <x v="1"/>
    <x v="1"/>
    <n v="85"/>
    <n v="41"/>
  </r>
  <r>
    <x v="312"/>
    <x v="3"/>
    <x v="2"/>
    <x v="1"/>
    <x v="2"/>
    <n v="35"/>
    <n v="27"/>
  </r>
  <r>
    <x v="312"/>
    <x v="3"/>
    <x v="2"/>
    <x v="1"/>
    <x v="1"/>
    <n v="42"/>
    <n v="129"/>
  </r>
  <r>
    <x v="312"/>
    <x v="1"/>
    <x v="1"/>
    <x v="0"/>
    <x v="2"/>
    <n v="24"/>
    <n v="93"/>
  </r>
  <r>
    <x v="312"/>
    <x v="14"/>
    <x v="2"/>
    <x v="1"/>
    <x v="1"/>
    <n v="98"/>
    <n v="53"/>
  </r>
  <r>
    <x v="312"/>
    <x v="9"/>
    <x v="2"/>
    <x v="0"/>
    <x v="1"/>
    <n v="49"/>
    <n v="92"/>
  </r>
  <r>
    <x v="312"/>
    <x v="11"/>
    <x v="1"/>
    <x v="0"/>
    <x v="0"/>
    <n v="15"/>
    <n v="128"/>
  </r>
  <r>
    <x v="312"/>
    <x v="14"/>
    <x v="2"/>
    <x v="1"/>
    <x v="1"/>
    <n v="25"/>
    <n v="127"/>
  </r>
  <r>
    <x v="313"/>
    <x v="8"/>
    <x v="2"/>
    <x v="1"/>
    <x v="2"/>
    <n v="51"/>
    <n v="107"/>
  </r>
  <r>
    <x v="313"/>
    <x v="6"/>
    <x v="0"/>
    <x v="0"/>
    <x v="2"/>
    <n v="47"/>
    <n v="122"/>
  </r>
  <r>
    <x v="313"/>
    <x v="3"/>
    <x v="2"/>
    <x v="0"/>
    <x v="0"/>
    <n v="51"/>
    <n v="37"/>
  </r>
  <r>
    <x v="313"/>
    <x v="3"/>
    <x v="2"/>
    <x v="0"/>
    <x v="2"/>
    <n v="91"/>
    <n v="128"/>
  </r>
  <r>
    <x v="314"/>
    <x v="3"/>
    <x v="2"/>
    <x v="1"/>
    <x v="2"/>
    <n v="60"/>
    <n v="64"/>
  </r>
  <r>
    <x v="314"/>
    <x v="5"/>
    <x v="0"/>
    <x v="1"/>
    <x v="2"/>
    <n v="37"/>
    <n v="36"/>
  </r>
  <r>
    <x v="314"/>
    <x v="12"/>
    <x v="2"/>
    <x v="1"/>
    <x v="1"/>
    <n v="16"/>
    <n v="60"/>
  </r>
  <r>
    <x v="314"/>
    <x v="14"/>
    <x v="2"/>
    <x v="0"/>
    <x v="0"/>
    <n v="70"/>
    <n v="146"/>
  </r>
  <r>
    <x v="314"/>
    <x v="1"/>
    <x v="1"/>
    <x v="1"/>
    <x v="0"/>
    <n v="31"/>
    <n v="75"/>
  </r>
  <r>
    <x v="314"/>
    <x v="12"/>
    <x v="2"/>
    <x v="0"/>
    <x v="0"/>
    <n v="91"/>
    <n v="137"/>
  </r>
  <r>
    <x v="314"/>
    <x v="6"/>
    <x v="0"/>
    <x v="1"/>
    <x v="0"/>
    <n v="78"/>
    <n v="24"/>
  </r>
  <r>
    <x v="314"/>
    <x v="14"/>
    <x v="2"/>
    <x v="0"/>
    <x v="2"/>
    <n v="98"/>
    <n v="137"/>
  </r>
  <r>
    <x v="315"/>
    <x v="14"/>
    <x v="2"/>
    <x v="1"/>
    <x v="0"/>
    <n v="100"/>
    <n v="84"/>
  </r>
  <r>
    <x v="315"/>
    <x v="12"/>
    <x v="2"/>
    <x v="1"/>
    <x v="2"/>
    <n v="16"/>
    <n v="148"/>
  </r>
  <r>
    <x v="315"/>
    <x v="7"/>
    <x v="1"/>
    <x v="0"/>
    <x v="0"/>
    <n v="16"/>
    <n v="107"/>
  </r>
  <r>
    <x v="315"/>
    <x v="3"/>
    <x v="2"/>
    <x v="0"/>
    <x v="0"/>
    <n v="91"/>
    <n v="100"/>
  </r>
  <r>
    <x v="315"/>
    <x v="1"/>
    <x v="1"/>
    <x v="0"/>
    <x v="0"/>
    <n v="20"/>
    <n v="49"/>
  </r>
  <r>
    <x v="316"/>
    <x v="9"/>
    <x v="2"/>
    <x v="0"/>
    <x v="1"/>
    <n v="87"/>
    <n v="116"/>
  </r>
  <r>
    <x v="316"/>
    <x v="9"/>
    <x v="2"/>
    <x v="1"/>
    <x v="0"/>
    <n v="41"/>
    <n v="113"/>
  </r>
  <r>
    <x v="316"/>
    <x v="12"/>
    <x v="2"/>
    <x v="0"/>
    <x v="0"/>
    <n v="28"/>
    <n v="72"/>
  </r>
  <r>
    <x v="316"/>
    <x v="14"/>
    <x v="2"/>
    <x v="0"/>
    <x v="1"/>
    <n v="88"/>
    <n v="97"/>
  </r>
  <r>
    <x v="316"/>
    <x v="7"/>
    <x v="1"/>
    <x v="0"/>
    <x v="0"/>
    <n v="74"/>
    <n v="22"/>
  </r>
  <r>
    <x v="316"/>
    <x v="4"/>
    <x v="1"/>
    <x v="0"/>
    <x v="0"/>
    <n v="36"/>
    <n v="68"/>
  </r>
  <r>
    <x v="316"/>
    <x v="13"/>
    <x v="0"/>
    <x v="0"/>
    <x v="1"/>
    <n v="60"/>
    <n v="105"/>
  </r>
  <r>
    <x v="316"/>
    <x v="12"/>
    <x v="2"/>
    <x v="0"/>
    <x v="1"/>
    <n v="36"/>
    <n v="88"/>
  </r>
  <r>
    <x v="317"/>
    <x v="13"/>
    <x v="0"/>
    <x v="1"/>
    <x v="2"/>
    <n v="85"/>
    <n v="115"/>
  </r>
  <r>
    <x v="317"/>
    <x v="7"/>
    <x v="1"/>
    <x v="1"/>
    <x v="0"/>
    <n v="74"/>
    <n v="78"/>
  </r>
  <r>
    <x v="317"/>
    <x v="6"/>
    <x v="0"/>
    <x v="1"/>
    <x v="0"/>
    <n v="42"/>
    <n v="131"/>
  </r>
  <r>
    <x v="317"/>
    <x v="5"/>
    <x v="0"/>
    <x v="1"/>
    <x v="0"/>
    <n v="11"/>
    <n v="129"/>
  </r>
  <r>
    <x v="317"/>
    <x v="6"/>
    <x v="0"/>
    <x v="1"/>
    <x v="0"/>
    <n v="63"/>
    <n v="57"/>
  </r>
  <r>
    <x v="317"/>
    <x v="13"/>
    <x v="0"/>
    <x v="1"/>
    <x v="2"/>
    <n v="27"/>
    <n v="136"/>
  </r>
  <r>
    <x v="318"/>
    <x v="9"/>
    <x v="2"/>
    <x v="0"/>
    <x v="2"/>
    <n v="100"/>
    <n v="22"/>
  </r>
  <r>
    <x v="318"/>
    <x v="6"/>
    <x v="0"/>
    <x v="1"/>
    <x v="1"/>
    <n v="87"/>
    <n v="65"/>
  </r>
  <r>
    <x v="318"/>
    <x v="1"/>
    <x v="1"/>
    <x v="0"/>
    <x v="1"/>
    <n v="82"/>
    <n v="146"/>
  </r>
  <r>
    <x v="318"/>
    <x v="1"/>
    <x v="1"/>
    <x v="0"/>
    <x v="0"/>
    <n v="86"/>
    <n v="134"/>
  </r>
  <r>
    <x v="318"/>
    <x v="2"/>
    <x v="0"/>
    <x v="0"/>
    <x v="0"/>
    <n v="71"/>
    <n v="114"/>
  </r>
  <r>
    <x v="319"/>
    <x v="12"/>
    <x v="2"/>
    <x v="1"/>
    <x v="0"/>
    <n v="26"/>
    <n v="68"/>
  </r>
  <r>
    <x v="319"/>
    <x v="4"/>
    <x v="1"/>
    <x v="0"/>
    <x v="2"/>
    <n v="94"/>
    <n v="66"/>
  </r>
  <r>
    <x v="319"/>
    <x v="13"/>
    <x v="0"/>
    <x v="0"/>
    <x v="2"/>
    <n v="29"/>
    <n v="143"/>
  </r>
  <r>
    <x v="319"/>
    <x v="7"/>
    <x v="1"/>
    <x v="0"/>
    <x v="0"/>
    <n v="21"/>
    <n v="32"/>
  </r>
  <r>
    <x v="319"/>
    <x v="6"/>
    <x v="0"/>
    <x v="0"/>
    <x v="2"/>
    <n v="45"/>
    <n v="89"/>
  </r>
  <r>
    <x v="319"/>
    <x v="6"/>
    <x v="0"/>
    <x v="0"/>
    <x v="1"/>
    <n v="97"/>
    <n v="79"/>
  </r>
  <r>
    <x v="319"/>
    <x v="10"/>
    <x v="1"/>
    <x v="1"/>
    <x v="1"/>
    <n v="89"/>
    <n v="98"/>
  </r>
  <r>
    <x v="319"/>
    <x v="4"/>
    <x v="1"/>
    <x v="1"/>
    <x v="0"/>
    <n v="94"/>
    <n v="77"/>
  </r>
  <r>
    <x v="319"/>
    <x v="0"/>
    <x v="0"/>
    <x v="1"/>
    <x v="0"/>
    <n v="55"/>
    <n v="22"/>
  </r>
  <r>
    <x v="319"/>
    <x v="3"/>
    <x v="2"/>
    <x v="1"/>
    <x v="0"/>
    <n v="29"/>
    <n v="51"/>
  </r>
  <r>
    <x v="320"/>
    <x v="9"/>
    <x v="2"/>
    <x v="1"/>
    <x v="2"/>
    <n v="15"/>
    <n v="137"/>
  </r>
  <r>
    <x v="320"/>
    <x v="3"/>
    <x v="2"/>
    <x v="1"/>
    <x v="1"/>
    <n v="87"/>
    <n v="50"/>
  </r>
  <r>
    <x v="320"/>
    <x v="5"/>
    <x v="0"/>
    <x v="1"/>
    <x v="1"/>
    <n v="62"/>
    <n v="128"/>
  </r>
  <r>
    <x v="320"/>
    <x v="14"/>
    <x v="2"/>
    <x v="0"/>
    <x v="1"/>
    <n v="12"/>
    <n v="84"/>
  </r>
  <r>
    <x v="321"/>
    <x v="10"/>
    <x v="1"/>
    <x v="1"/>
    <x v="0"/>
    <n v="15"/>
    <n v="73"/>
  </r>
  <r>
    <x v="321"/>
    <x v="2"/>
    <x v="0"/>
    <x v="1"/>
    <x v="2"/>
    <n v="18"/>
    <n v="148"/>
  </r>
  <r>
    <x v="321"/>
    <x v="10"/>
    <x v="1"/>
    <x v="0"/>
    <x v="2"/>
    <n v="60"/>
    <n v="64"/>
  </r>
  <r>
    <x v="321"/>
    <x v="2"/>
    <x v="0"/>
    <x v="1"/>
    <x v="1"/>
    <n v="15"/>
    <n v="77"/>
  </r>
  <r>
    <x v="321"/>
    <x v="0"/>
    <x v="0"/>
    <x v="1"/>
    <x v="0"/>
    <n v="35"/>
    <n v="104"/>
  </r>
  <r>
    <x v="321"/>
    <x v="0"/>
    <x v="0"/>
    <x v="0"/>
    <x v="1"/>
    <n v="91"/>
    <n v="84"/>
  </r>
  <r>
    <x v="321"/>
    <x v="0"/>
    <x v="0"/>
    <x v="1"/>
    <x v="1"/>
    <n v="79"/>
    <n v="104"/>
  </r>
  <r>
    <x v="321"/>
    <x v="13"/>
    <x v="0"/>
    <x v="1"/>
    <x v="0"/>
    <n v="58"/>
    <n v="140"/>
  </r>
  <r>
    <x v="321"/>
    <x v="6"/>
    <x v="0"/>
    <x v="0"/>
    <x v="2"/>
    <n v="100"/>
    <n v="101"/>
  </r>
  <r>
    <x v="321"/>
    <x v="4"/>
    <x v="1"/>
    <x v="0"/>
    <x v="0"/>
    <n v="52"/>
    <n v="103"/>
  </r>
  <r>
    <x v="322"/>
    <x v="6"/>
    <x v="0"/>
    <x v="1"/>
    <x v="2"/>
    <n v="98"/>
    <n v="27"/>
  </r>
  <r>
    <x v="322"/>
    <x v="1"/>
    <x v="1"/>
    <x v="1"/>
    <x v="2"/>
    <n v="41"/>
    <n v="112"/>
  </r>
  <r>
    <x v="322"/>
    <x v="2"/>
    <x v="0"/>
    <x v="1"/>
    <x v="2"/>
    <n v="52"/>
    <n v="22"/>
  </r>
  <r>
    <x v="323"/>
    <x v="11"/>
    <x v="1"/>
    <x v="1"/>
    <x v="0"/>
    <n v="99"/>
    <n v="90"/>
  </r>
  <r>
    <x v="323"/>
    <x v="12"/>
    <x v="2"/>
    <x v="1"/>
    <x v="1"/>
    <n v="92"/>
    <n v="123"/>
  </r>
  <r>
    <x v="323"/>
    <x v="9"/>
    <x v="2"/>
    <x v="1"/>
    <x v="0"/>
    <n v="35"/>
    <n v="25"/>
  </r>
  <r>
    <x v="323"/>
    <x v="9"/>
    <x v="2"/>
    <x v="1"/>
    <x v="0"/>
    <n v="50"/>
    <n v="65"/>
  </r>
  <r>
    <x v="324"/>
    <x v="13"/>
    <x v="0"/>
    <x v="0"/>
    <x v="0"/>
    <n v="72"/>
    <n v="74"/>
  </r>
  <r>
    <x v="324"/>
    <x v="1"/>
    <x v="1"/>
    <x v="0"/>
    <x v="2"/>
    <n v="35"/>
    <n v="145"/>
  </r>
  <r>
    <x v="324"/>
    <x v="4"/>
    <x v="1"/>
    <x v="1"/>
    <x v="1"/>
    <n v="29"/>
    <n v="112"/>
  </r>
  <r>
    <x v="324"/>
    <x v="12"/>
    <x v="2"/>
    <x v="1"/>
    <x v="1"/>
    <n v="24"/>
    <n v="49"/>
  </r>
  <r>
    <x v="324"/>
    <x v="14"/>
    <x v="2"/>
    <x v="0"/>
    <x v="2"/>
    <n v="55"/>
    <n v="137"/>
  </r>
  <r>
    <x v="324"/>
    <x v="2"/>
    <x v="0"/>
    <x v="1"/>
    <x v="0"/>
    <n v="87"/>
    <n v="125"/>
  </r>
  <r>
    <x v="325"/>
    <x v="7"/>
    <x v="1"/>
    <x v="1"/>
    <x v="1"/>
    <n v="21"/>
    <n v="71"/>
  </r>
  <r>
    <x v="325"/>
    <x v="9"/>
    <x v="2"/>
    <x v="0"/>
    <x v="2"/>
    <n v="56"/>
    <n v="84"/>
  </r>
  <r>
    <x v="325"/>
    <x v="10"/>
    <x v="1"/>
    <x v="1"/>
    <x v="1"/>
    <n v="22"/>
    <n v="147"/>
  </r>
  <r>
    <x v="325"/>
    <x v="4"/>
    <x v="1"/>
    <x v="0"/>
    <x v="1"/>
    <n v="58"/>
    <n v="96"/>
  </r>
  <r>
    <x v="326"/>
    <x v="14"/>
    <x v="2"/>
    <x v="1"/>
    <x v="2"/>
    <n v="59"/>
    <n v="145"/>
  </r>
  <r>
    <x v="326"/>
    <x v="5"/>
    <x v="0"/>
    <x v="0"/>
    <x v="0"/>
    <n v="26"/>
    <n v="48"/>
  </r>
  <r>
    <x v="326"/>
    <x v="0"/>
    <x v="0"/>
    <x v="0"/>
    <x v="2"/>
    <n v="50"/>
    <n v="100"/>
  </r>
  <r>
    <x v="326"/>
    <x v="6"/>
    <x v="0"/>
    <x v="1"/>
    <x v="2"/>
    <n v="93"/>
    <n v="98"/>
  </r>
  <r>
    <x v="326"/>
    <x v="3"/>
    <x v="2"/>
    <x v="0"/>
    <x v="1"/>
    <n v="38"/>
    <n v="92"/>
  </r>
  <r>
    <x v="326"/>
    <x v="2"/>
    <x v="0"/>
    <x v="0"/>
    <x v="1"/>
    <n v="71"/>
    <n v="120"/>
  </r>
  <r>
    <x v="327"/>
    <x v="7"/>
    <x v="1"/>
    <x v="1"/>
    <x v="1"/>
    <n v="92"/>
    <n v="47"/>
  </r>
  <r>
    <x v="327"/>
    <x v="6"/>
    <x v="0"/>
    <x v="0"/>
    <x v="0"/>
    <n v="69"/>
    <n v="31"/>
  </r>
  <r>
    <x v="327"/>
    <x v="7"/>
    <x v="1"/>
    <x v="0"/>
    <x v="0"/>
    <n v="69"/>
    <n v="118"/>
  </r>
  <r>
    <x v="328"/>
    <x v="3"/>
    <x v="2"/>
    <x v="1"/>
    <x v="0"/>
    <n v="26"/>
    <n v="44"/>
  </r>
  <r>
    <x v="328"/>
    <x v="14"/>
    <x v="2"/>
    <x v="0"/>
    <x v="0"/>
    <n v="87"/>
    <n v="56"/>
  </r>
  <r>
    <x v="328"/>
    <x v="13"/>
    <x v="0"/>
    <x v="0"/>
    <x v="1"/>
    <n v="52"/>
    <n v="111"/>
  </r>
  <r>
    <x v="328"/>
    <x v="1"/>
    <x v="1"/>
    <x v="0"/>
    <x v="0"/>
    <n v="52"/>
    <n v="31"/>
  </r>
  <r>
    <x v="328"/>
    <x v="1"/>
    <x v="1"/>
    <x v="1"/>
    <x v="0"/>
    <n v="72"/>
    <n v="64"/>
  </r>
  <r>
    <x v="328"/>
    <x v="2"/>
    <x v="0"/>
    <x v="1"/>
    <x v="2"/>
    <n v="80"/>
    <n v="144"/>
  </r>
  <r>
    <x v="328"/>
    <x v="3"/>
    <x v="2"/>
    <x v="0"/>
    <x v="2"/>
    <n v="19"/>
    <n v="67"/>
  </r>
  <r>
    <x v="328"/>
    <x v="11"/>
    <x v="1"/>
    <x v="0"/>
    <x v="1"/>
    <n v="99"/>
    <n v="74"/>
  </r>
  <r>
    <x v="329"/>
    <x v="1"/>
    <x v="1"/>
    <x v="0"/>
    <x v="2"/>
    <n v="51"/>
    <n v="88"/>
  </r>
  <r>
    <x v="329"/>
    <x v="10"/>
    <x v="1"/>
    <x v="0"/>
    <x v="0"/>
    <n v="57"/>
    <n v="67"/>
  </r>
  <r>
    <x v="329"/>
    <x v="11"/>
    <x v="1"/>
    <x v="0"/>
    <x v="1"/>
    <n v="42"/>
    <n v="86"/>
  </r>
  <r>
    <x v="329"/>
    <x v="4"/>
    <x v="1"/>
    <x v="1"/>
    <x v="0"/>
    <n v="83"/>
    <n v="119"/>
  </r>
  <r>
    <x v="330"/>
    <x v="5"/>
    <x v="0"/>
    <x v="0"/>
    <x v="0"/>
    <n v="77"/>
    <n v="106"/>
  </r>
  <r>
    <x v="330"/>
    <x v="2"/>
    <x v="0"/>
    <x v="1"/>
    <x v="0"/>
    <n v="48"/>
    <n v="78"/>
  </r>
  <r>
    <x v="330"/>
    <x v="13"/>
    <x v="0"/>
    <x v="1"/>
    <x v="2"/>
    <n v="71"/>
    <n v="99"/>
  </r>
  <r>
    <x v="330"/>
    <x v="8"/>
    <x v="2"/>
    <x v="1"/>
    <x v="2"/>
    <n v="73"/>
    <n v="33"/>
  </r>
  <r>
    <x v="330"/>
    <x v="8"/>
    <x v="2"/>
    <x v="0"/>
    <x v="1"/>
    <n v="30"/>
    <n v="31"/>
  </r>
  <r>
    <x v="330"/>
    <x v="10"/>
    <x v="1"/>
    <x v="0"/>
    <x v="0"/>
    <n v="92"/>
    <n v="126"/>
  </r>
  <r>
    <x v="330"/>
    <x v="4"/>
    <x v="1"/>
    <x v="0"/>
    <x v="0"/>
    <n v="93"/>
    <n v="133"/>
  </r>
  <r>
    <x v="330"/>
    <x v="6"/>
    <x v="0"/>
    <x v="1"/>
    <x v="0"/>
    <n v="12"/>
    <n v="28"/>
  </r>
  <r>
    <x v="331"/>
    <x v="8"/>
    <x v="2"/>
    <x v="1"/>
    <x v="1"/>
    <n v="74"/>
    <n v="48"/>
  </r>
  <r>
    <x v="331"/>
    <x v="13"/>
    <x v="0"/>
    <x v="1"/>
    <x v="2"/>
    <n v="59"/>
    <n v="118"/>
  </r>
  <r>
    <x v="331"/>
    <x v="10"/>
    <x v="1"/>
    <x v="1"/>
    <x v="1"/>
    <n v="95"/>
    <n v="93"/>
  </r>
  <r>
    <x v="331"/>
    <x v="12"/>
    <x v="2"/>
    <x v="0"/>
    <x v="1"/>
    <n v="69"/>
    <n v="89"/>
  </r>
  <r>
    <x v="331"/>
    <x v="0"/>
    <x v="0"/>
    <x v="1"/>
    <x v="0"/>
    <n v="53"/>
    <n v="74"/>
  </r>
  <r>
    <x v="331"/>
    <x v="7"/>
    <x v="1"/>
    <x v="0"/>
    <x v="0"/>
    <n v="79"/>
    <n v="20"/>
  </r>
  <r>
    <x v="331"/>
    <x v="6"/>
    <x v="0"/>
    <x v="0"/>
    <x v="0"/>
    <n v="21"/>
    <n v="57"/>
  </r>
  <r>
    <x v="331"/>
    <x v="0"/>
    <x v="0"/>
    <x v="0"/>
    <x v="2"/>
    <n v="38"/>
    <n v="64"/>
  </r>
  <r>
    <x v="331"/>
    <x v="5"/>
    <x v="0"/>
    <x v="1"/>
    <x v="0"/>
    <n v="70"/>
    <n v="50"/>
  </r>
  <r>
    <x v="331"/>
    <x v="10"/>
    <x v="1"/>
    <x v="0"/>
    <x v="2"/>
    <n v="99"/>
    <n v="25"/>
  </r>
  <r>
    <x v="331"/>
    <x v="6"/>
    <x v="0"/>
    <x v="0"/>
    <x v="0"/>
    <n v="27"/>
    <n v="103"/>
  </r>
  <r>
    <x v="332"/>
    <x v="7"/>
    <x v="1"/>
    <x v="1"/>
    <x v="2"/>
    <n v="94"/>
    <n v="139"/>
  </r>
  <r>
    <x v="332"/>
    <x v="8"/>
    <x v="2"/>
    <x v="0"/>
    <x v="1"/>
    <n v="100"/>
    <n v="98"/>
  </r>
  <r>
    <x v="332"/>
    <x v="9"/>
    <x v="2"/>
    <x v="1"/>
    <x v="0"/>
    <n v="14"/>
    <n v="62"/>
  </r>
  <r>
    <x v="332"/>
    <x v="1"/>
    <x v="1"/>
    <x v="0"/>
    <x v="0"/>
    <n v="87"/>
    <n v="32"/>
  </r>
  <r>
    <x v="332"/>
    <x v="11"/>
    <x v="1"/>
    <x v="0"/>
    <x v="2"/>
    <n v="31"/>
    <n v="116"/>
  </r>
  <r>
    <x v="333"/>
    <x v="14"/>
    <x v="2"/>
    <x v="0"/>
    <x v="0"/>
    <n v="20"/>
    <n v="55"/>
  </r>
  <r>
    <x v="333"/>
    <x v="0"/>
    <x v="0"/>
    <x v="1"/>
    <x v="0"/>
    <n v="32"/>
    <n v="77"/>
  </r>
  <r>
    <x v="333"/>
    <x v="9"/>
    <x v="2"/>
    <x v="1"/>
    <x v="0"/>
    <n v="34"/>
    <n v="130"/>
  </r>
  <r>
    <x v="333"/>
    <x v="4"/>
    <x v="1"/>
    <x v="0"/>
    <x v="1"/>
    <n v="20"/>
    <n v="40"/>
  </r>
  <r>
    <x v="333"/>
    <x v="5"/>
    <x v="0"/>
    <x v="0"/>
    <x v="1"/>
    <n v="19"/>
    <n v="26"/>
  </r>
  <r>
    <x v="333"/>
    <x v="5"/>
    <x v="0"/>
    <x v="1"/>
    <x v="0"/>
    <n v="13"/>
    <n v="114"/>
  </r>
  <r>
    <x v="333"/>
    <x v="6"/>
    <x v="0"/>
    <x v="1"/>
    <x v="1"/>
    <n v="81"/>
    <n v="143"/>
  </r>
  <r>
    <x v="334"/>
    <x v="10"/>
    <x v="1"/>
    <x v="1"/>
    <x v="1"/>
    <n v="12"/>
    <n v="40"/>
  </r>
  <r>
    <x v="334"/>
    <x v="3"/>
    <x v="2"/>
    <x v="1"/>
    <x v="0"/>
    <n v="49"/>
    <n v="58"/>
  </r>
  <r>
    <x v="334"/>
    <x v="10"/>
    <x v="1"/>
    <x v="1"/>
    <x v="2"/>
    <n v="64"/>
    <n v="51"/>
  </r>
  <r>
    <x v="334"/>
    <x v="8"/>
    <x v="2"/>
    <x v="1"/>
    <x v="2"/>
    <n v="43"/>
    <n v="49"/>
  </r>
  <r>
    <x v="334"/>
    <x v="6"/>
    <x v="0"/>
    <x v="0"/>
    <x v="1"/>
    <n v="84"/>
    <n v="138"/>
  </r>
  <r>
    <x v="334"/>
    <x v="9"/>
    <x v="2"/>
    <x v="0"/>
    <x v="0"/>
    <n v="19"/>
    <n v="60"/>
  </r>
  <r>
    <x v="334"/>
    <x v="9"/>
    <x v="2"/>
    <x v="1"/>
    <x v="2"/>
    <n v="42"/>
    <n v="70"/>
  </r>
  <r>
    <x v="334"/>
    <x v="3"/>
    <x v="2"/>
    <x v="1"/>
    <x v="1"/>
    <n v="49"/>
    <n v="64"/>
  </r>
  <r>
    <x v="335"/>
    <x v="4"/>
    <x v="1"/>
    <x v="0"/>
    <x v="1"/>
    <n v="12"/>
    <n v="132"/>
  </r>
  <r>
    <x v="335"/>
    <x v="10"/>
    <x v="1"/>
    <x v="1"/>
    <x v="0"/>
    <n v="53"/>
    <n v="150"/>
  </r>
  <r>
    <x v="335"/>
    <x v="7"/>
    <x v="1"/>
    <x v="1"/>
    <x v="1"/>
    <n v="97"/>
    <n v="136"/>
  </r>
  <r>
    <x v="335"/>
    <x v="9"/>
    <x v="2"/>
    <x v="1"/>
    <x v="2"/>
    <n v="50"/>
    <n v="27"/>
  </r>
  <r>
    <x v="335"/>
    <x v="12"/>
    <x v="2"/>
    <x v="1"/>
    <x v="1"/>
    <n v="74"/>
    <n v="133"/>
  </r>
  <r>
    <x v="335"/>
    <x v="1"/>
    <x v="1"/>
    <x v="1"/>
    <x v="1"/>
    <n v="19"/>
    <n v="82"/>
  </r>
  <r>
    <x v="335"/>
    <x v="5"/>
    <x v="0"/>
    <x v="1"/>
    <x v="1"/>
    <n v="13"/>
    <n v="122"/>
  </r>
  <r>
    <x v="335"/>
    <x v="8"/>
    <x v="2"/>
    <x v="0"/>
    <x v="0"/>
    <n v="11"/>
    <n v="50"/>
  </r>
  <r>
    <x v="335"/>
    <x v="8"/>
    <x v="2"/>
    <x v="1"/>
    <x v="2"/>
    <n v="34"/>
    <n v="117"/>
  </r>
  <r>
    <x v="336"/>
    <x v="6"/>
    <x v="0"/>
    <x v="1"/>
    <x v="0"/>
    <n v="22"/>
    <n v="64"/>
  </r>
  <r>
    <x v="336"/>
    <x v="9"/>
    <x v="2"/>
    <x v="0"/>
    <x v="2"/>
    <n v="84"/>
    <n v="118"/>
  </r>
  <r>
    <x v="336"/>
    <x v="3"/>
    <x v="2"/>
    <x v="0"/>
    <x v="1"/>
    <n v="49"/>
    <n v="125"/>
  </r>
  <r>
    <x v="336"/>
    <x v="2"/>
    <x v="0"/>
    <x v="1"/>
    <x v="1"/>
    <n v="74"/>
    <n v="75"/>
  </r>
  <r>
    <x v="336"/>
    <x v="11"/>
    <x v="1"/>
    <x v="1"/>
    <x v="1"/>
    <n v="85"/>
    <n v="42"/>
  </r>
  <r>
    <x v="336"/>
    <x v="5"/>
    <x v="0"/>
    <x v="1"/>
    <x v="1"/>
    <n v="37"/>
    <n v="135"/>
  </r>
  <r>
    <x v="336"/>
    <x v="14"/>
    <x v="2"/>
    <x v="1"/>
    <x v="2"/>
    <n v="97"/>
    <n v="82"/>
  </r>
  <r>
    <x v="336"/>
    <x v="8"/>
    <x v="2"/>
    <x v="0"/>
    <x v="2"/>
    <n v="46"/>
    <n v="84"/>
  </r>
  <r>
    <x v="336"/>
    <x v="14"/>
    <x v="2"/>
    <x v="1"/>
    <x v="1"/>
    <n v="49"/>
    <n v="98"/>
  </r>
  <r>
    <x v="337"/>
    <x v="13"/>
    <x v="0"/>
    <x v="0"/>
    <x v="2"/>
    <n v="28"/>
    <n v="48"/>
  </r>
  <r>
    <x v="337"/>
    <x v="2"/>
    <x v="0"/>
    <x v="1"/>
    <x v="0"/>
    <n v="48"/>
    <n v="22"/>
  </r>
  <r>
    <x v="337"/>
    <x v="2"/>
    <x v="0"/>
    <x v="1"/>
    <x v="0"/>
    <n v="44"/>
    <n v="141"/>
  </r>
  <r>
    <x v="337"/>
    <x v="5"/>
    <x v="0"/>
    <x v="0"/>
    <x v="2"/>
    <n v="66"/>
    <n v="125"/>
  </r>
  <r>
    <x v="337"/>
    <x v="0"/>
    <x v="0"/>
    <x v="1"/>
    <x v="1"/>
    <n v="99"/>
    <n v="119"/>
  </r>
  <r>
    <x v="337"/>
    <x v="11"/>
    <x v="1"/>
    <x v="1"/>
    <x v="0"/>
    <n v="18"/>
    <n v="81"/>
  </r>
  <r>
    <x v="337"/>
    <x v="8"/>
    <x v="2"/>
    <x v="1"/>
    <x v="2"/>
    <n v="70"/>
    <n v="129"/>
  </r>
  <r>
    <x v="337"/>
    <x v="13"/>
    <x v="0"/>
    <x v="0"/>
    <x v="2"/>
    <n v="22"/>
    <n v="130"/>
  </r>
  <r>
    <x v="337"/>
    <x v="6"/>
    <x v="0"/>
    <x v="1"/>
    <x v="2"/>
    <n v="19"/>
    <n v="95"/>
  </r>
  <r>
    <x v="337"/>
    <x v="9"/>
    <x v="2"/>
    <x v="0"/>
    <x v="1"/>
    <n v="61"/>
    <n v="78"/>
  </r>
  <r>
    <x v="337"/>
    <x v="11"/>
    <x v="1"/>
    <x v="1"/>
    <x v="1"/>
    <n v="66"/>
    <n v="21"/>
  </r>
  <r>
    <x v="338"/>
    <x v="11"/>
    <x v="1"/>
    <x v="1"/>
    <x v="0"/>
    <n v="46"/>
    <n v="131"/>
  </r>
  <r>
    <x v="338"/>
    <x v="4"/>
    <x v="1"/>
    <x v="1"/>
    <x v="0"/>
    <n v="47"/>
    <n v="73"/>
  </r>
  <r>
    <x v="338"/>
    <x v="12"/>
    <x v="2"/>
    <x v="0"/>
    <x v="2"/>
    <n v="66"/>
    <n v="110"/>
  </r>
  <r>
    <x v="338"/>
    <x v="14"/>
    <x v="2"/>
    <x v="1"/>
    <x v="0"/>
    <n v="95"/>
    <n v="32"/>
  </r>
  <r>
    <x v="338"/>
    <x v="7"/>
    <x v="1"/>
    <x v="1"/>
    <x v="1"/>
    <n v="18"/>
    <n v="115"/>
  </r>
  <r>
    <x v="339"/>
    <x v="7"/>
    <x v="1"/>
    <x v="0"/>
    <x v="0"/>
    <n v="69"/>
    <n v="145"/>
  </r>
  <r>
    <x v="339"/>
    <x v="6"/>
    <x v="0"/>
    <x v="0"/>
    <x v="0"/>
    <n v="61"/>
    <n v="75"/>
  </r>
  <r>
    <x v="339"/>
    <x v="5"/>
    <x v="0"/>
    <x v="1"/>
    <x v="2"/>
    <n v="12"/>
    <n v="110"/>
  </r>
  <r>
    <x v="339"/>
    <x v="6"/>
    <x v="0"/>
    <x v="1"/>
    <x v="1"/>
    <n v="63"/>
    <n v="62"/>
  </r>
  <r>
    <x v="340"/>
    <x v="4"/>
    <x v="1"/>
    <x v="0"/>
    <x v="1"/>
    <n v="97"/>
    <n v="33"/>
  </r>
  <r>
    <x v="340"/>
    <x v="4"/>
    <x v="1"/>
    <x v="0"/>
    <x v="2"/>
    <n v="90"/>
    <n v="109"/>
  </r>
  <r>
    <x v="340"/>
    <x v="10"/>
    <x v="1"/>
    <x v="0"/>
    <x v="1"/>
    <n v="36"/>
    <n v="122"/>
  </r>
  <r>
    <x v="340"/>
    <x v="2"/>
    <x v="0"/>
    <x v="0"/>
    <x v="0"/>
    <n v="64"/>
    <n v="62"/>
  </r>
  <r>
    <x v="341"/>
    <x v="14"/>
    <x v="2"/>
    <x v="0"/>
    <x v="2"/>
    <n v="22"/>
    <n v="108"/>
  </r>
  <r>
    <x v="341"/>
    <x v="5"/>
    <x v="0"/>
    <x v="0"/>
    <x v="0"/>
    <n v="31"/>
    <n v="128"/>
  </r>
  <r>
    <x v="341"/>
    <x v="3"/>
    <x v="2"/>
    <x v="0"/>
    <x v="1"/>
    <n v="74"/>
    <n v="87"/>
  </r>
  <r>
    <x v="341"/>
    <x v="8"/>
    <x v="2"/>
    <x v="1"/>
    <x v="2"/>
    <n v="11"/>
    <n v="26"/>
  </r>
  <r>
    <x v="341"/>
    <x v="3"/>
    <x v="2"/>
    <x v="0"/>
    <x v="2"/>
    <n v="72"/>
    <n v="66"/>
  </r>
  <r>
    <x v="341"/>
    <x v="11"/>
    <x v="1"/>
    <x v="1"/>
    <x v="2"/>
    <n v="96"/>
    <n v="100"/>
  </r>
  <r>
    <x v="341"/>
    <x v="3"/>
    <x v="2"/>
    <x v="0"/>
    <x v="0"/>
    <n v="26"/>
    <n v="34"/>
  </r>
  <r>
    <x v="341"/>
    <x v="4"/>
    <x v="1"/>
    <x v="1"/>
    <x v="0"/>
    <n v="75"/>
    <n v="42"/>
  </r>
  <r>
    <x v="341"/>
    <x v="7"/>
    <x v="1"/>
    <x v="1"/>
    <x v="0"/>
    <n v="32"/>
    <n v="130"/>
  </r>
  <r>
    <x v="342"/>
    <x v="14"/>
    <x v="2"/>
    <x v="1"/>
    <x v="0"/>
    <n v="62"/>
    <n v="52"/>
  </r>
  <r>
    <x v="342"/>
    <x v="5"/>
    <x v="0"/>
    <x v="1"/>
    <x v="2"/>
    <n v="92"/>
    <n v="105"/>
  </r>
  <r>
    <x v="342"/>
    <x v="3"/>
    <x v="2"/>
    <x v="1"/>
    <x v="2"/>
    <n v="10"/>
    <n v="27"/>
  </r>
  <r>
    <x v="342"/>
    <x v="12"/>
    <x v="2"/>
    <x v="1"/>
    <x v="0"/>
    <n v="47"/>
    <n v="122"/>
  </r>
  <r>
    <x v="343"/>
    <x v="14"/>
    <x v="2"/>
    <x v="1"/>
    <x v="1"/>
    <n v="62"/>
    <n v="121"/>
  </r>
  <r>
    <x v="343"/>
    <x v="7"/>
    <x v="1"/>
    <x v="1"/>
    <x v="0"/>
    <n v="11"/>
    <n v="93"/>
  </r>
  <r>
    <x v="343"/>
    <x v="10"/>
    <x v="1"/>
    <x v="0"/>
    <x v="1"/>
    <n v="81"/>
    <n v="144"/>
  </r>
  <r>
    <x v="344"/>
    <x v="11"/>
    <x v="1"/>
    <x v="1"/>
    <x v="2"/>
    <n v="98"/>
    <n v="86"/>
  </r>
  <r>
    <x v="344"/>
    <x v="6"/>
    <x v="0"/>
    <x v="1"/>
    <x v="1"/>
    <n v="50"/>
    <n v="145"/>
  </r>
  <r>
    <x v="344"/>
    <x v="14"/>
    <x v="2"/>
    <x v="0"/>
    <x v="0"/>
    <n v="12"/>
    <n v="61"/>
  </r>
  <r>
    <x v="344"/>
    <x v="13"/>
    <x v="0"/>
    <x v="0"/>
    <x v="1"/>
    <n v="85"/>
    <n v="82"/>
  </r>
  <r>
    <x v="344"/>
    <x v="10"/>
    <x v="1"/>
    <x v="1"/>
    <x v="0"/>
    <n v="31"/>
    <n v="85"/>
  </r>
  <r>
    <x v="345"/>
    <x v="6"/>
    <x v="0"/>
    <x v="1"/>
    <x v="2"/>
    <n v="47"/>
    <n v="60"/>
  </r>
  <r>
    <x v="345"/>
    <x v="9"/>
    <x v="2"/>
    <x v="1"/>
    <x v="1"/>
    <n v="61"/>
    <n v="35"/>
  </r>
  <r>
    <x v="345"/>
    <x v="1"/>
    <x v="1"/>
    <x v="1"/>
    <x v="1"/>
    <n v="49"/>
    <n v="59"/>
  </r>
  <r>
    <x v="345"/>
    <x v="9"/>
    <x v="2"/>
    <x v="0"/>
    <x v="2"/>
    <n v="36"/>
    <n v="118"/>
  </r>
  <r>
    <x v="345"/>
    <x v="5"/>
    <x v="0"/>
    <x v="1"/>
    <x v="2"/>
    <n v="75"/>
    <n v="85"/>
  </r>
  <r>
    <x v="345"/>
    <x v="9"/>
    <x v="2"/>
    <x v="1"/>
    <x v="2"/>
    <n v="50"/>
    <n v="47"/>
  </r>
  <r>
    <x v="345"/>
    <x v="12"/>
    <x v="2"/>
    <x v="1"/>
    <x v="2"/>
    <n v="86"/>
    <n v="32"/>
  </r>
  <r>
    <x v="345"/>
    <x v="10"/>
    <x v="1"/>
    <x v="0"/>
    <x v="2"/>
    <n v="61"/>
    <n v="33"/>
  </r>
  <r>
    <x v="346"/>
    <x v="0"/>
    <x v="0"/>
    <x v="1"/>
    <x v="1"/>
    <n v="50"/>
    <n v="106"/>
  </r>
  <r>
    <x v="346"/>
    <x v="2"/>
    <x v="0"/>
    <x v="1"/>
    <x v="1"/>
    <n v="23"/>
    <n v="38"/>
  </r>
  <r>
    <x v="346"/>
    <x v="14"/>
    <x v="2"/>
    <x v="1"/>
    <x v="1"/>
    <n v="74"/>
    <n v="67"/>
  </r>
  <r>
    <x v="346"/>
    <x v="8"/>
    <x v="2"/>
    <x v="1"/>
    <x v="2"/>
    <n v="79"/>
    <n v="30"/>
  </r>
  <r>
    <x v="346"/>
    <x v="14"/>
    <x v="2"/>
    <x v="1"/>
    <x v="1"/>
    <n v="29"/>
    <n v="147"/>
  </r>
  <r>
    <x v="346"/>
    <x v="3"/>
    <x v="2"/>
    <x v="0"/>
    <x v="0"/>
    <n v="18"/>
    <n v="49"/>
  </r>
  <r>
    <x v="346"/>
    <x v="4"/>
    <x v="1"/>
    <x v="1"/>
    <x v="0"/>
    <n v="86"/>
    <n v="46"/>
  </r>
  <r>
    <x v="346"/>
    <x v="3"/>
    <x v="2"/>
    <x v="1"/>
    <x v="0"/>
    <n v="17"/>
    <n v="142"/>
  </r>
  <r>
    <x v="346"/>
    <x v="5"/>
    <x v="0"/>
    <x v="0"/>
    <x v="2"/>
    <n v="56"/>
    <n v="54"/>
  </r>
  <r>
    <x v="346"/>
    <x v="3"/>
    <x v="2"/>
    <x v="1"/>
    <x v="0"/>
    <n v="29"/>
    <n v="114"/>
  </r>
  <r>
    <x v="346"/>
    <x v="14"/>
    <x v="2"/>
    <x v="0"/>
    <x v="2"/>
    <n v="71"/>
    <n v="21"/>
  </r>
  <r>
    <x v="347"/>
    <x v="4"/>
    <x v="1"/>
    <x v="1"/>
    <x v="0"/>
    <n v="25"/>
    <n v="105"/>
  </r>
  <r>
    <x v="347"/>
    <x v="7"/>
    <x v="1"/>
    <x v="0"/>
    <x v="0"/>
    <n v="45"/>
    <n v="84"/>
  </r>
  <r>
    <x v="347"/>
    <x v="10"/>
    <x v="1"/>
    <x v="1"/>
    <x v="1"/>
    <n v="36"/>
    <n v="99"/>
  </r>
  <r>
    <x v="347"/>
    <x v="10"/>
    <x v="1"/>
    <x v="0"/>
    <x v="1"/>
    <n v="94"/>
    <n v="63"/>
  </r>
  <r>
    <x v="347"/>
    <x v="14"/>
    <x v="2"/>
    <x v="0"/>
    <x v="1"/>
    <n v="15"/>
    <n v="109"/>
  </r>
  <r>
    <x v="347"/>
    <x v="14"/>
    <x v="2"/>
    <x v="0"/>
    <x v="1"/>
    <n v="34"/>
    <n v="91"/>
  </r>
  <r>
    <x v="347"/>
    <x v="11"/>
    <x v="1"/>
    <x v="0"/>
    <x v="1"/>
    <n v="50"/>
    <n v="86"/>
  </r>
  <r>
    <x v="348"/>
    <x v="13"/>
    <x v="0"/>
    <x v="1"/>
    <x v="1"/>
    <n v="66"/>
    <n v="150"/>
  </r>
  <r>
    <x v="348"/>
    <x v="1"/>
    <x v="1"/>
    <x v="1"/>
    <x v="2"/>
    <n v="33"/>
    <n v="41"/>
  </r>
  <r>
    <x v="348"/>
    <x v="7"/>
    <x v="1"/>
    <x v="0"/>
    <x v="2"/>
    <n v="99"/>
    <n v="112"/>
  </r>
  <r>
    <x v="348"/>
    <x v="1"/>
    <x v="1"/>
    <x v="0"/>
    <x v="0"/>
    <n v="74"/>
    <n v="135"/>
  </r>
  <r>
    <x v="348"/>
    <x v="9"/>
    <x v="2"/>
    <x v="1"/>
    <x v="2"/>
    <n v="89"/>
    <n v="112"/>
  </r>
  <r>
    <x v="348"/>
    <x v="13"/>
    <x v="0"/>
    <x v="1"/>
    <x v="0"/>
    <n v="46"/>
    <n v="20"/>
  </r>
  <r>
    <x v="348"/>
    <x v="12"/>
    <x v="2"/>
    <x v="0"/>
    <x v="2"/>
    <n v="70"/>
    <n v="100"/>
  </r>
  <r>
    <x v="348"/>
    <x v="4"/>
    <x v="1"/>
    <x v="1"/>
    <x v="2"/>
    <n v="23"/>
    <n v="113"/>
  </r>
  <r>
    <x v="348"/>
    <x v="9"/>
    <x v="2"/>
    <x v="0"/>
    <x v="2"/>
    <n v="64"/>
    <n v="100"/>
  </r>
  <r>
    <x v="348"/>
    <x v="11"/>
    <x v="1"/>
    <x v="1"/>
    <x v="0"/>
    <n v="20"/>
    <n v="83"/>
  </r>
  <r>
    <x v="348"/>
    <x v="7"/>
    <x v="1"/>
    <x v="1"/>
    <x v="2"/>
    <n v="35"/>
    <n v="122"/>
  </r>
  <r>
    <x v="349"/>
    <x v="0"/>
    <x v="0"/>
    <x v="1"/>
    <x v="1"/>
    <n v="32"/>
    <n v="59"/>
  </r>
  <r>
    <x v="349"/>
    <x v="10"/>
    <x v="1"/>
    <x v="0"/>
    <x v="1"/>
    <n v="48"/>
    <n v="71"/>
  </r>
  <r>
    <x v="349"/>
    <x v="1"/>
    <x v="1"/>
    <x v="1"/>
    <x v="1"/>
    <n v="85"/>
    <n v="76"/>
  </r>
  <r>
    <x v="349"/>
    <x v="10"/>
    <x v="1"/>
    <x v="1"/>
    <x v="2"/>
    <n v="97"/>
    <n v="148"/>
  </r>
  <r>
    <x v="349"/>
    <x v="11"/>
    <x v="1"/>
    <x v="1"/>
    <x v="1"/>
    <n v="97"/>
    <n v="35"/>
  </r>
  <r>
    <x v="349"/>
    <x v="3"/>
    <x v="2"/>
    <x v="0"/>
    <x v="0"/>
    <n v="82"/>
    <n v="40"/>
  </r>
  <r>
    <x v="349"/>
    <x v="8"/>
    <x v="2"/>
    <x v="1"/>
    <x v="0"/>
    <n v="41"/>
    <n v="47"/>
  </r>
  <r>
    <x v="349"/>
    <x v="7"/>
    <x v="1"/>
    <x v="1"/>
    <x v="1"/>
    <n v="41"/>
    <n v="89"/>
  </r>
  <r>
    <x v="350"/>
    <x v="11"/>
    <x v="1"/>
    <x v="1"/>
    <x v="2"/>
    <n v="83"/>
    <n v="69"/>
  </r>
  <r>
    <x v="350"/>
    <x v="3"/>
    <x v="2"/>
    <x v="0"/>
    <x v="0"/>
    <n v="52"/>
    <n v="50"/>
  </r>
  <r>
    <x v="350"/>
    <x v="14"/>
    <x v="2"/>
    <x v="1"/>
    <x v="0"/>
    <n v="94"/>
    <n v="95"/>
  </r>
  <r>
    <x v="350"/>
    <x v="2"/>
    <x v="0"/>
    <x v="0"/>
    <x v="1"/>
    <n v="14"/>
    <n v="128"/>
  </r>
  <r>
    <x v="350"/>
    <x v="11"/>
    <x v="1"/>
    <x v="1"/>
    <x v="0"/>
    <n v="38"/>
    <n v="98"/>
  </r>
  <r>
    <x v="351"/>
    <x v="0"/>
    <x v="0"/>
    <x v="0"/>
    <x v="0"/>
    <n v="33"/>
    <n v="129"/>
  </r>
  <r>
    <x v="351"/>
    <x v="6"/>
    <x v="0"/>
    <x v="0"/>
    <x v="2"/>
    <n v="79"/>
    <n v="91"/>
  </r>
  <r>
    <x v="351"/>
    <x v="3"/>
    <x v="2"/>
    <x v="0"/>
    <x v="2"/>
    <n v="62"/>
    <n v="54"/>
  </r>
  <r>
    <x v="351"/>
    <x v="1"/>
    <x v="1"/>
    <x v="1"/>
    <x v="1"/>
    <n v="73"/>
    <n v="35"/>
  </r>
  <r>
    <x v="351"/>
    <x v="14"/>
    <x v="2"/>
    <x v="0"/>
    <x v="2"/>
    <n v="26"/>
    <n v="48"/>
  </r>
  <r>
    <x v="351"/>
    <x v="3"/>
    <x v="2"/>
    <x v="0"/>
    <x v="0"/>
    <n v="88"/>
    <n v="27"/>
  </r>
  <r>
    <x v="351"/>
    <x v="11"/>
    <x v="1"/>
    <x v="0"/>
    <x v="0"/>
    <n v="99"/>
    <n v="93"/>
  </r>
  <r>
    <x v="351"/>
    <x v="4"/>
    <x v="1"/>
    <x v="0"/>
    <x v="1"/>
    <n v="40"/>
    <n v="62"/>
  </r>
  <r>
    <x v="351"/>
    <x v="2"/>
    <x v="0"/>
    <x v="0"/>
    <x v="0"/>
    <n v="53"/>
    <n v="76"/>
  </r>
  <r>
    <x v="351"/>
    <x v="2"/>
    <x v="0"/>
    <x v="1"/>
    <x v="0"/>
    <n v="24"/>
    <n v="56"/>
  </r>
  <r>
    <x v="352"/>
    <x v="4"/>
    <x v="1"/>
    <x v="1"/>
    <x v="2"/>
    <n v="52"/>
    <n v="37"/>
  </r>
  <r>
    <x v="352"/>
    <x v="3"/>
    <x v="2"/>
    <x v="0"/>
    <x v="2"/>
    <n v="68"/>
    <n v="71"/>
  </r>
  <r>
    <x v="352"/>
    <x v="14"/>
    <x v="2"/>
    <x v="0"/>
    <x v="1"/>
    <n v="92"/>
    <n v="77"/>
  </r>
  <r>
    <x v="352"/>
    <x v="0"/>
    <x v="0"/>
    <x v="1"/>
    <x v="2"/>
    <n v="57"/>
    <n v="116"/>
  </r>
  <r>
    <x v="352"/>
    <x v="2"/>
    <x v="0"/>
    <x v="0"/>
    <x v="1"/>
    <n v="58"/>
    <n v="73"/>
  </r>
  <r>
    <x v="352"/>
    <x v="14"/>
    <x v="2"/>
    <x v="1"/>
    <x v="0"/>
    <n v="46"/>
    <n v="137"/>
  </r>
  <r>
    <x v="352"/>
    <x v="12"/>
    <x v="2"/>
    <x v="0"/>
    <x v="0"/>
    <n v="60"/>
    <n v="44"/>
  </r>
  <r>
    <x v="352"/>
    <x v="13"/>
    <x v="0"/>
    <x v="0"/>
    <x v="0"/>
    <n v="56"/>
    <n v="84"/>
  </r>
  <r>
    <x v="352"/>
    <x v="6"/>
    <x v="0"/>
    <x v="0"/>
    <x v="1"/>
    <n v="34"/>
    <n v="131"/>
  </r>
  <r>
    <x v="352"/>
    <x v="0"/>
    <x v="0"/>
    <x v="1"/>
    <x v="1"/>
    <n v="97"/>
    <n v="148"/>
  </r>
  <r>
    <x v="352"/>
    <x v="12"/>
    <x v="2"/>
    <x v="0"/>
    <x v="0"/>
    <n v="74"/>
    <n v="97"/>
  </r>
  <r>
    <x v="353"/>
    <x v="14"/>
    <x v="2"/>
    <x v="1"/>
    <x v="2"/>
    <n v="62"/>
    <n v="121"/>
  </r>
  <r>
    <x v="353"/>
    <x v="0"/>
    <x v="0"/>
    <x v="1"/>
    <x v="1"/>
    <n v="63"/>
    <n v="136"/>
  </r>
  <r>
    <x v="353"/>
    <x v="7"/>
    <x v="1"/>
    <x v="1"/>
    <x v="2"/>
    <n v="50"/>
    <n v="99"/>
  </r>
  <r>
    <x v="353"/>
    <x v="10"/>
    <x v="1"/>
    <x v="1"/>
    <x v="0"/>
    <n v="90"/>
    <n v="79"/>
  </r>
  <r>
    <x v="353"/>
    <x v="11"/>
    <x v="1"/>
    <x v="0"/>
    <x v="0"/>
    <n v="75"/>
    <n v="116"/>
  </r>
  <r>
    <x v="353"/>
    <x v="1"/>
    <x v="1"/>
    <x v="0"/>
    <x v="0"/>
    <n v="93"/>
    <n v="108"/>
  </r>
  <r>
    <x v="353"/>
    <x v="14"/>
    <x v="2"/>
    <x v="0"/>
    <x v="1"/>
    <n v="66"/>
    <n v="81"/>
  </r>
  <r>
    <x v="353"/>
    <x v="13"/>
    <x v="0"/>
    <x v="0"/>
    <x v="2"/>
    <n v="45"/>
    <n v="42"/>
  </r>
  <r>
    <x v="353"/>
    <x v="4"/>
    <x v="1"/>
    <x v="1"/>
    <x v="2"/>
    <n v="76"/>
    <n v="101"/>
  </r>
  <r>
    <x v="353"/>
    <x v="14"/>
    <x v="2"/>
    <x v="1"/>
    <x v="0"/>
    <n v="36"/>
    <n v="57"/>
  </r>
  <r>
    <x v="353"/>
    <x v="13"/>
    <x v="0"/>
    <x v="1"/>
    <x v="0"/>
    <n v="28"/>
    <n v="105"/>
  </r>
  <r>
    <x v="353"/>
    <x v="2"/>
    <x v="0"/>
    <x v="0"/>
    <x v="0"/>
    <n v="72"/>
    <n v="144"/>
  </r>
  <r>
    <x v="354"/>
    <x v="8"/>
    <x v="2"/>
    <x v="0"/>
    <x v="0"/>
    <n v="32"/>
    <n v="139"/>
  </r>
  <r>
    <x v="354"/>
    <x v="10"/>
    <x v="1"/>
    <x v="0"/>
    <x v="0"/>
    <n v="93"/>
    <n v="137"/>
  </r>
  <r>
    <x v="354"/>
    <x v="9"/>
    <x v="2"/>
    <x v="0"/>
    <x v="0"/>
    <n v="16"/>
    <n v="44"/>
  </r>
  <r>
    <x v="354"/>
    <x v="10"/>
    <x v="1"/>
    <x v="1"/>
    <x v="2"/>
    <n v="30"/>
    <n v="27"/>
  </r>
  <r>
    <x v="354"/>
    <x v="8"/>
    <x v="2"/>
    <x v="1"/>
    <x v="0"/>
    <n v="24"/>
    <n v="76"/>
  </r>
  <r>
    <x v="354"/>
    <x v="6"/>
    <x v="0"/>
    <x v="0"/>
    <x v="2"/>
    <n v="20"/>
    <n v="32"/>
  </r>
  <r>
    <x v="355"/>
    <x v="6"/>
    <x v="0"/>
    <x v="0"/>
    <x v="0"/>
    <n v="71"/>
    <n v="96"/>
  </r>
  <r>
    <x v="355"/>
    <x v="0"/>
    <x v="0"/>
    <x v="0"/>
    <x v="2"/>
    <n v="91"/>
    <n v="95"/>
  </r>
  <r>
    <x v="355"/>
    <x v="5"/>
    <x v="0"/>
    <x v="0"/>
    <x v="1"/>
    <n v="89"/>
    <n v="115"/>
  </r>
  <r>
    <x v="355"/>
    <x v="3"/>
    <x v="2"/>
    <x v="1"/>
    <x v="2"/>
    <n v="66"/>
    <n v="86"/>
  </r>
  <r>
    <x v="355"/>
    <x v="4"/>
    <x v="1"/>
    <x v="1"/>
    <x v="0"/>
    <n v="22"/>
    <n v="103"/>
  </r>
  <r>
    <x v="355"/>
    <x v="9"/>
    <x v="2"/>
    <x v="1"/>
    <x v="1"/>
    <n v="71"/>
    <n v="103"/>
  </r>
  <r>
    <x v="355"/>
    <x v="12"/>
    <x v="2"/>
    <x v="0"/>
    <x v="2"/>
    <n v="58"/>
    <n v="78"/>
  </r>
  <r>
    <x v="356"/>
    <x v="0"/>
    <x v="0"/>
    <x v="1"/>
    <x v="1"/>
    <n v="42"/>
    <n v="119"/>
  </r>
  <r>
    <x v="356"/>
    <x v="3"/>
    <x v="2"/>
    <x v="0"/>
    <x v="0"/>
    <n v="90"/>
    <n v="140"/>
  </r>
  <r>
    <x v="356"/>
    <x v="8"/>
    <x v="2"/>
    <x v="0"/>
    <x v="1"/>
    <n v="56"/>
    <n v="148"/>
  </r>
  <r>
    <x v="356"/>
    <x v="9"/>
    <x v="2"/>
    <x v="0"/>
    <x v="2"/>
    <n v="49"/>
    <n v="78"/>
  </r>
  <r>
    <x v="356"/>
    <x v="0"/>
    <x v="0"/>
    <x v="0"/>
    <x v="0"/>
    <n v="73"/>
    <n v="111"/>
  </r>
  <r>
    <x v="356"/>
    <x v="13"/>
    <x v="0"/>
    <x v="0"/>
    <x v="1"/>
    <n v="22"/>
    <n v="111"/>
  </r>
  <r>
    <x v="356"/>
    <x v="4"/>
    <x v="1"/>
    <x v="1"/>
    <x v="0"/>
    <n v="45"/>
    <n v="99"/>
  </r>
  <r>
    <x v="357"/>
    <x v="2"/>
    <x v="0"/>
    <x v="0"/>
    <x v="0"/>
    <n v="30"/>
    <n v="88"/>
  </r>
  <r>
    <x v="357"/>
    <x v="14"/>
    <x v="2"/>
    <x v="0"/>
    <x v="1"/>
    <n v="79"/>
    <n v="41"/>
  </r>
  <r>
    <x v="357"/>
    <x v="0"/>
    <x v="0"/>
    <x v="1"/>
    <x v="2"/>
    <n v="49"/>
    <n v="133"/>
  </r>
  <r>
    <x v="357"/>
    <x v="1"/>
    <x v="1"/>
    <x v="1"/>
    <x v="0"/>
    <n v="50"/>
    <n v="112"/>
  </r>
  <r>
    <x v="357"/>
    <x v="0"/>
    <x v="0"/>
    <x v="0"/>
    <x v="2"/>
    <n v="47"/>
    <n v="48"/>
  </r>
  <r>
    <x v="358"/>
    <x v="1"/>
    <x v="1"/>
    <x v="0"/>
    <x v="0"/>
    <n v="49"/>
    <n v="93"/>
  </r>
  <r>
    <x v="358"/>
    <x v="14"/>
    <x v="2"/>
    <x v="1"/>
    <x v="0"/>
    <n v="50"/>
    <n v="139"/>
  </r>
  <r>
    <x v="358"/>
    <x v="3"/>
    <x v="2"/>
    <x v="0"/>
    <x v="1"/>
    <n v="47"/>
    <n v="149"/>
  </r>
  <r>
    <x v="358"/>
    <x v="1"/>
    <x v="1"/>
    <x v="1"/>
    <x v="0"/>
    <n v="93"/>
    <n v="55"/>
  </r>
  <r>
    <x v="358"/>
    <x v="4"/>
    <x v="1"/>
    <x v="1"/>
    <x v="0"/>
    <n v="44"/>
    <n v="56"/>
  </r>
  <r>
    <x v="358"/>
    <x v="11"/>
    <x v="1"/>
    <x v="1"/>
    <x v="1"/>
    <n v="54"/>
    <n v="105"/>
  </r>
  <r>
    <x v="358"/>
    <x v="8"/>
    <x v="2"/>
    <x v="0"/>
    <x v="1"/>
    <n v="34"/>
    <n v="121"/>
  </r>
  <r>
    <x v="358"/>
    <x v="3"/>
    <x v="2"/>
    <x v="1"/>
    <x v="2"/>
    <n v="42"/>
    <n v="98"/>
  </r>
  <r>
    <x v="358"/>
    <x v="6"/>
    <x v="0"/>
    <x v="0"/>
    <x v="1"/>
    <n v="90"/>
    <n v="127"/>
  </r>
  <r>
    <x v="358"/>
    <x v="13"/>
    <x v="0"/>
    <x v="0"/>
    <x v="0"/>
    <n v="55"/>
    <n v="51"/>
  </r>
  <r>
    <x v="358"/>
    <x v="3"/>
    <x v="2"/>
    <x v="1"/>
    <x v="0"/>
    <n v="29"/>
    <n v="46"/>
  </r>
  <r>
    <x v="358"/>
    <x v="14"/>
    <x v="2"/>
    <x v="1"/>
    <x v="2"/>
    <n v="72"/>
    <n v="114"/>
  </r>
  <r>
    <x v="358"/>
    <x v="8"/>
    <x v="2"/>
    <x v="1"/>
    <x v="2"/>
    <n v="94"/>
    <n v="94"/>
  </r>
  <r>
    <x v="358"/>
    <x v="12"/>
    <x v="2"/>
    <x v="0"/>
    <x v="1"/>
    <n v="42"/>
    <n v="94"/>
  </r>
  <r>
    <x v="359"/>
    <x v="13"/>
    <x v="0"/>
    <x v="0"/>
    <x v="1"/>
    <n v="52"/>
    <n v="60"/>
  </r>
  <r>
    <x v="359"/>
    <x v="0"/>
    <x v="0"/>
    <x v="1"/>
    <x v="0"/>
    <n v="46"/>
    <n v="23"/>
  </r>
  <r>
    <x v="359"/>
    <x v="4"/>
    <x v="1"/>
    <x v="1"/>
    <x v="0"/>
    <n v="19"/>
    <n v="130"/>
  </r>
  <r>
    <x v="359"/>
    <x v="6"/>
    <x v="0"/>
    <x v="1"/>
    <x v="2"/>
    <n v="67"/>
    <n v="79"/>
  </r>
  <r>
    <x v="359"/>
    <x v="10"/>
    <x v="1"/>
    <x v="1"/>
    <x v="0"/>
    <n v="74"/>
    <n v="118"/>
  </r>
  <r>
    <x v="359"/>
    <x v="8"/>
    <x v="2"/>
    <x v="0"/>
    <x v="1"/>
    <n v="26"/>
    <n v="29"/>
  </r>
  <r>
    <x v="360"/>
    <x v="8"/>
    <x v="2"/>
    <x v="1"/>
    <x v="2"/>
    <n v="87"/>
    <n v="114"/>
  </r>
  <r>
    <x v="360"/>
    <x v="5"/>
    <x v="0"/>
    <x v="1"/>
    <x v="1"/>
    <n v="81"/>
    <n v="78"/>
  </r>
  <r>
    <x v="360"/>
    <x v="13"/>
    <x v="0"/>
    <x v="0"/>
    <x v="0"/>
    <n v="91"/>
    <n v="135"/>
  </r>
  <r>
    <x v="360"/>
    <x v="5"/>
    <x v="0"/>
    <x v="0"/>
    <x v="1"/>
    <n v="16"/>
    <n v="114"/>
  </r>
  <r>
    <x v="360"/>
    <x v="6"/>
    <x v="0"/>
    <x v="1"/>
    <x v="1"/>
    <n v="97"/>
    <n v="145"/>
  </r>
  <r>
    <x v="360"/>
    <x v="14"/>
    <x v="2"/>
    <x v="0"/>
    <x v="1"/>
    <n v="33"/>
    <n v="97"/>
  </r>
  <r>
    <x v="360"/>
    <x v="9"/>
    <x v="2"/>
    <x v="1"/>
    <x v="2"/>
    <n v="86"/>
    <n v="72"/>
  </r>
  <r>
    <x v="360"/>
    <x v="13"/>
    <x v="0"/>
    <x v="1"/>
    <x v="1"/>
    <n v="83"/>
    <n v="44"/>
  </r>
  <r>
    <x v="361"/>
    <x v="3"/>
    <x v="2"/>
    <x v="1"/>
    <x v="1"/>
    <n v="37"/>
    <n v="105"/>
  </r>
  <r>
    <x v="361"/>
    <x v="0"/>
    <x v="0"/>
    <x v="0"/>
    <x v="1"/>
    <n v="59"/>
    <n v="124"/>
  </r>
  <r>
    <x v="361"/>
    <x v="14"/>
    <x v="2"/>
    <x v="0"/>
    <x v="0"/>
    <n v="82"/>
    <n v="104"/>
  </r>
  <r>
    <x v="361"/>
    <x v="2"/>
    <x v="0"/>
    <x v="0"/>
    <x v="2"/>
    <n v="39"/>
    <n v="63"/>
  </r>
  <r>
    <x v="362"/>
    <x v="11"/>
    <x v="1"/>
    <x v="1"/>
    <x v="0"/>
    <n v="61"/>
    <n v="83"/>
  </r>
  <r>
    <x v="362"/>
    <x v="14"/>
    <x v="2"/>
    <x v="1"/>
    <x v="1"/>
    <n v="73"/>
    <n v="46"/>
  </r>
  <r>
    <x v="362"/>
    <x v="0"/>
    <x v="0"/>
    <x v="1"/>
    <x v="1"/>
    <n v="62"/>
    <n v="92"/>
  </r>
  <r>
    <x v="362"/>
    <x v="8"/>
    <x v="2"/>
    <x v="1"/>
    <x v="2"/>
    <n v="99"/>
    <n v="72"/>
  </r>
  <r>
    <x v="362"/>
    <x v="7"/>
    <x v="1"/>
    <x v="0"/>
    <x v="2"/>
    <n v="12"/>
    <n v="30"/>
  </r>
  <r>
    <x v="362"/>
    <x v="7"/>
    <x v="1"/>
    <x v="0"/>
    <x v="2"/>
    <n v="40"/>
    <n v="142"/>
  </r>
  <r>
    <x v="362"/>
    <x v="13"/>
    <x v="0"/>
    <x v="1"/>
    <x v="1"/>
    <n v="93"/>
    <n v="149"/>
  </r>
  <r>
    <x v="363"/>
    <x v="6"/>
    <x v="0"/>
    <x v="0"/>
    <x v="1"/>
    <n v="34"/>
    <n v="26"/>
  </r>
  <r>
    <x v="363"/>
    <x v="11"/>
    <x v="1"/>
    <x v="1"/>
    <x v="2"/>
    <n v="86"/>
    <n v="122"/>
  </r>
  <r>
    <x v="363"/>
    <x v="1"/>
    <x v="1"/>
    <x v="1"/>
    <x v="1"/>
    <n v="10"/>
    <n v="44"/>
  </r>
  <r>
    <x v="363"/>
    <x v="10"/>
    <x v="1"/>
    <x v="1"/>
    <x v="1"/>
    <n v="73"/>
    <n v="38"/>
  </r>
  <r>
    <x v="363"/>
    <x v="12"/>
    <x v="2"/>
    <x v="1"/>
    <x v="0"/>
    <n v="58"/>
    <n v="28"/>
  </r>
  <r>
    <x v="363"/>
    <x v="0"/>
    <x v="0"/>
    <x v="1"/>
    <x v="1"/>
    <n v="10"/>
    <n v="70"/>
  </r>
  <r>
    <x v="363"/>
    <x v="9"/>
    <x v="2"/>
    <x v="1"/>
    <x v="0"/>
    <n v="15"/>
    <n v="13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E31F95-8992-4DC0-B7EE-286ECEAE0FAA}" name="Tabela dinâmica2" cacheId="4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">
  <location ref="F3:I5" firstHeaderRow="1" firstDataRow="2" firstDataCol="1"/>
  <pivotFields count="9">
    <pivotField numFmtId="14" showAll="0">
      <items count="36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t="default"/>
      </items>
    </pivotField>
    <pivotField showAll="0"/>
    <pivotField showAll="0"/>
    <pivotField axis="axisCol" showAll="0">
      <items count="3">
        <item x="0"/>
        <item x="1"/>
        <item t="default"/>
      </items>
    </pivotField>
    <pivotField showAll="0"/>
    <pivotField dataField="1"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Items count="1">
    <i/>
  </rowItems>
  <colFields count="1">
    <field x="3"/>
  </colFields>
  <colItems count="3">
    <i>
      <x/>
    </i>
    <i>
      <x v="1"/>
    </i>
    <i t="grand">
      <x/>
    </i>
  </colItems>
  <dataFields count="1">
    <dataField name="Soma de Quantidade" fld="5" showDataAs="percentOfRow" baseField="0" baseItem="0" numFmtId="10"/>
  </dataFields>
  <chartFormats count="3"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EA0CB0-F5FF-49AB-B2B5-F4565D3F2B45}" name="Tabela dinâmica6" cacheId="4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3">
  <location ref="A53:C66" firstHeaderRow="0" firstDataRow="1" firstDataCol="1"/>
  <pivotFields count="9">
    <pivotField numFmtId="14" showAll="0">
      <items count="36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Custo de produção" fld="6" baseField="0" baseItem="0"/>
    <dataField name="Soma de Custo de produção2" fld="6" baseField="0" baseItem="0"/>
  </dataFields>
  <formats count="1">
    <format dxfId="0">
      <pivotArea outline="0" collapsedLevelsAreSubtotals="1" fieldPosition="0"/>
    </format>
  </formats>
  <chartFormats count="10">
    <chartFormat chart="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6">
      <pivotArea type="data" outline="0" fieldPosition="0">
        <references count="2">
          <reference field="4294967294" count="1" selected="0">
            <x v="1"/>
          </reference>
          <reference field="8" count="1" selected="0">
            <x v="1"/>
          </reference>
        </references>
      </pivotArea>
    </chartFormat>
    <chartFormat chart="12" format="7">
      <pivotArea type="data" outline="0" fieldPosition="0">
        <references count="2">
          <reference field="4294967294" count="1" selected="0">
            <x v="1"/>
          </reference>
          <reference field="8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B481E2-581A-4249-A808-CB9FCA1D0C01}" name="Tabela dinâmica8" cacheId="4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">
  <location ref="A71:D85" firstHeaderRow="1" firstDataRow="2" firstDataCol="1"/>
  <pivotFields count="9">
    <pivotField numFmtId="14" showAll="0">
      <items count="36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t="default"/>
      </items>
    </pivotField>
    <pivotField showAll="0" measureFilter="1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Col" showAll="0">
      <items count="3">
        <item x="0"/>
        <item x="1"/>
        <item t="default"/>
      </items>
    </pivotField>
    <pivotField showAll="0"/>
    <pivotField dataField="1" showAll="0"/>
    <pivotField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3"/>
  </colFields>
  <colItems count="3">
    <i>
      <x/>
    </i>
    <i>
      <x v="1"/>
    </i>
    <i t="grand">
      <x/>
    </i>
  </colItems>
  <dataFields count="1">
    <dataField name="Média de Quantidade" fld="5" subtotal="average" baseField="8" baseItem="1"/>
  </dataFields>
  <formats count="1">
    <format dxfId="1">
      <pivotArea collapsedLevelsAreSubtotals="1" fieldPosition="0">
        <references count="1">
          <reference field="8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</formats>
  <chartFormats count="6"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4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9EAEC8-B750-4E01-B795-E3802377213B}" name="Tabela dinâmica4" cacheId="4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A26:C40" firstHeaderRow="1" firstDataRow="2" firstDataCol="1"/>
  <pivotFields count="9">
    <pivotField numFmtId="14" showAll="0">
      <items count="36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t="default"/>
      </items>
    </pivotField>
    <pivotField showAll="0"/>
    <pivotField showAll="0"/>
    <pivotField axis="axisCol" showAll="0">
      <items count="3">
        <item x="0"/>
        <item h="1" x="1"/>
        <item t="default"/>
      </items>
    </pivotField>
    <pivotField showAll="0"/>
    <pivotField dataField="1" showAll="0"/>
    <pivotField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3"/>
  </colFields>
  <colItems count="2">
    <i>
      <x/>
    </i>
    <i t="grand">
      <x/>
    </i>
  </colItems>
  <dataFields count="1">
    <dataField name="Soma de Quantidade" fld="5" baseField="0" baseItem="0"/>
  </dataFields>
  <chartFormats count="2">
    <chartFormat chart="8" format="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8" format="8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8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622770-E4CF-4967-8F9B-C71D7BE1B83E}" name="Tabela dinâmica1" cacheId="4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">
  <location ref="A3:D8" firstHeaderRow="1" firstDataRow="2" firstDataCol="1"/>
  <pivotFields count="9">
    <pivotField numFmtId="14" showAll="0">
      <items count="36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t="default"/>
      </items>
    </pivotField>
    <pivotField showAll="0"/>
    <pivotField showAll="0"/>
    <pivotField axis="axisCol" showAll="0">
      <items count="3">
        <item x="0"/>
        <item x="1"/>
        <item t="default"/>
      </items>
    </pivotField>
    <pivotField axis="axisRow" showAll="0">
      <items count="4">
        <item x="1"/>
        <item x="2"/>
        <item x="0"/>
        <item t="default"/>
      </items>
    </pivotField>
    <pivotField dataField="1"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3"/>
  </colFields>
  <colItems count="3">
    <i>
      <x/>
    </i>
    <i>
      <x v="1"/>
    </i>
    <i t="grand">
      <x/>
    </i>
  </colItems>
  <dataFields count="1">
    <dataField name="Soma de Quantidade" fld="5" baseField="0" baseItem="0"/>
  </dataFields>
  <chartFormats count="3"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2EF227-FA81-4C90-92DB-3BF4831CC145}" name="Tabela dinâmica3" cacheId="4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7:D22" firstHeaderRow="1" firstDataRow="2" firstDataCol="1"/>
  <pivotFields count="9">
    <pivotField numFmtId="14" showAll="0">
      <items count="36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axis="axisCol" showAll="0">
      <items count="3">
        <item x="0"/>
        <item x="1"/>
        <item t="default"/>
      </items>
    </pivotField>
    <pivotField showAll="0"/>
    <pivotField dataField="1"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3"/>
  </colFields>
  <colItems count="3">
    <i>
      <x/>
    </i>
    <i>
      <x v="1"/>
    </i>
    <i t="grand">
      <x/>
    </i>
  </colItems>
  <dataFields count="1">
    <dataField name="Soma de Quantidade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586D8F-838A-41AA-9301-D585CD2F72F2}" name="Tabela dinâmica7" cacheId="4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3">
  <location ref="H26:J40" firstHeaderRow="1" firstDataRow="2" firstDataCol="1"/>
  <pivotFields count="9">
    <pivotField numFmtId="14" showAll="0">
      <items count="36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t="default"/>
      </items>
    </pivotField>
    <pivotField showAll="0"/>
    <pivotField showAll="0"/>
    <pivotField axis="axisCol" showAll="0">
      <items count="3">
        <item h="1" x="0"/>
        <item x="1"/>
        <item t="default"/>
      </items>
    </pivotField>
    <pivotField showAll="0"/>
    <pivotField dataField="1" showAll="0"/>
    <pivotField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3"/>
  </colFields>
  <colItems count="2">
    <i>
      <x v="1"/>
    </i>
    <i t="grand">
      <x/>
    </i>
  </colItems>
  <dataFields count="1">
    <dataField name="Soma de Quantidade" fld="5" baseField="0" baseItem="0"/>
  </dataFields>
  <chartFormats count="4"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9" format="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9" format="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6C4705-31EF-438B-BF1B-689925428836}" name="Tabela dinâmica5" cacheId="4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">
  <location ref="A43:D50" firstHeaderRow="1" firstDataRow="2" firstDataCol="1"/>
  <pivotFields count="9">
    <pivotField numFmtId="14" showAll="0">
      <items count="36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t="default"/>
      </items>
    </pivotField>
    <pivotField axis="axisRow" showAll="0" measureFilter="1" sortType="descending">
      <items count="16">
        <item x="12"/>
        <item x="9"/>
        <item x="3"/>
        <item x="14"/>
        <item x="2"/>
        <item x="8"/>
        <item x="0"/>
        <item x="5"/>
        <item x="1"/>
        <item x="11"/>
        <item x="4"/>
        <item x="10"/>
        <item x="7"/>
        <item x="13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Col" showAll="0">
      <items count="3">
        <item x="0"/>
        <item x="1"/>
        <item t="default"/>
      </items>
    </pivotField>
    <pivotField showAll="0"/>
    <pivotField dataField="1" showAll="0"/>
    <pivotField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1"/>
  </rowFields>
  <rowItems count="6">
    <i>
      <x v="1"/>
    </i>
    <i>
      <x v="14"/>
    </i>
    <i>
      <x v="12"/>
    </i>
    <i>
      <x v="10"/>
    </i>
    <i>
      <x v="3"/>
    </i>
    <i t="grand">
      <x/>
    </i>
  </rowItems>
  <colFields count="1">
    <field x="3"/>
  </colFields>
  <colItems count="3">
    <i>
      <x/>
    </i>
    <i>
      <x v="1"/>
    </i>
    <i t="grand">
      <x/>
    </i>
  </colItems>
  <dataFields count="1">
    <dataField name="Soma de Quantidade" fld="5" baseField="0" baseItem="0"/>
  </dataFields>
  <chartFormats count="6"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4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eses__Data" xr10:uid="{C5F0A734-6D6E-46C0-A44E-90F2402D0BB4}" sourceName="Meses (Data)">
  <pivotTables>
    <pivotTable tabId="2" name="Tabela dinâmica1"/>
    <pivotTable tabId="2" name="Tabela dinâmica2"/>
    <pivotTable tabId="2" name="Tabela dinâmica3"/>
    <pivotTable tabId="2" name="Tabela dinâmica5"/>
    <pivotTable tabId="2" name="Tabela dinâmica4"/>
    <pivotTable tabId="2" name="Tabela dinâmica7"/>
    <pivotTable tabId="2" name="Tabela dinâmica8"/>
  </pivotTables>
  <data>
    <tabular pivotCacheId="1246634248">
      <items count="14"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 (Data) 1" xr10:uid="{CAC2C2DA-7AD4-46EB-BAA1-BDB7A6C7D2E2}" cache="SegmentaçãodeDados_Meses__Data" caption="Meses (Data)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 (Data)" xr10:uid="{B7872F60-79C2-4993-85B5-61BDFEE1AA4C}" cache="SegmentaçãodeDados_Meses__Data" caption="Meses (Data)" style="Estilo de Segmentação de Dados 1" rowHeight="288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FBB2923-1B63-4206-BBEB-B7AADA3EBDBF}" name="Tabela1" displayName="Tabela1" ref="B2:H2530" totalsRowShown="0" headerRowDxfId="5" tableBorderDxfId="4">
  <autoFilter ref="B2:H2530" xr:uid="{BFBB2923-1B63-4206-BBEB-B7AADA3EBDB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7DAECFD3-1BC2-45FB-B1A8-86104BF1F649}" name="Data" dataDxfId="3"/>
    <tableColumn id="2" xr3:uid="{2AAC6067-8B34-45A1-B2CF-D2C5FB070E98}" name="Produto"/>
    <tableColumn id="3" xr3:uid="{607813C0-2FDB-4001-929D-FEB5D896734E}" name="Categoria"/>
    <tableColumn id="4" xr3:uid="{4D133BD0-23B7-4395-90A0-D2231543A180}" name="Equipe"/>
    <tableColumn id="5" xr3:uid="{35B92C9E-8C3D-416B-BC9E-C7222D2EA252}" name="Canal"/>
    <tableColumn id="6" xr3:uid="{2A3B617F-68D4-4F96-8CD6-8CCBAD67F2BC}" name="Quantidade"/>
    <tableColumn id="7" xr3:uid="{8962098C-9AD4-4570-88D7-7A40E2E1E844}" name="Custo de produção" dataDxfId="2" dataCellStyle="Moeda"/>
  </tableColumns>
  <tableStyleInfo name="TableStyleDark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Personalizada 3">
      <a:dk1>
        <a:srgbClr val="00CC66"/>
      </a:dk1>
      <a:lt1>
        <a:sysClr val="window" lastClr="FFFFFF"/>
      </a:lt1>
      <a:dk2>
        <a:srgbClr val="003366"/>
      </a:dk2>
      <a:lt2>
        <a:srgbClr val="FFCC00"/>
      </a:lt2>
      <a:accent1>
        <a:srgbClr val="FF3300"/>
      </a:accent1>
      <a:accent2>
        <a:srgbClr val="0099CC"/>
      </a:accent2>
      <a:accent3>
        <a:srgbClr val="FFFFFF"/>
      </a:accent3>
      <a:accent4>
        <a:srgbClr val="FFFFFF"/>
      </a:accent4>
      <a:accent5>
        <a:srgbClr val="FFFFFF"/>
      </a:accent5>
      <a:accent6>
        <a:srgbClr val="FFFFFF"/>
      </a:accent6>
      <a:hlink>
        <a:srgbClr val="FFFFFF"/>
      </a:hlink>
      <a:folHlink>
        <a:srgbClr val="FFFFFF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microsoft.com/office/2007/relationships/slicer" Target="../slicers/slicer1.xml"/><Relationship Id="rId5" Type="http://schemas.openxmlformats.org/officeDocument/2006/relationships/pivotTable" Target="../pivotTables/pivotTable5.xml"/><Relationship Id="rId10" Type="http://schemas.openxmlformats.org/officeDocument/2006/relationships/drawing" Target="../drawings/drawing1.xml"/><Relationship Id="rId4" Type="http://schemas.openxmlformats.org/officeDocument/2006/relationships/pivotTable" Target="../pivotTables/pivotTable4.xml"/><Relationship Id="rId9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EFF91-B87F-4FE2-992C-A643233A81FA}">
  <sheetPr codeName="Planilha1"/>
  <dimension ref="B1:K2530"/>
  <sheetViews>
    <sheetView workbookViewId="0">
      <selection activeCell="K12" sqref="K12"/>
    </sheetView>
  </sheetViews>
  <sheetFormatPr defaultRowHeight="15" x14ac:dyDescent="0.25"/>
  <cols>
    <col min="2" max="2" width="10.7109375" bestFit="1" customWidth="1"/>
    <col min="3" max="3" width="32" bestFit="1" customWidth="1"/>
    <col min="4" max="4" width="17.5703125" bestFit="1" customWidth="1"/>
    <col min="5" max="5" width="9.5703125" bestFit="1" customWidth="1"/>
    <col min="6" max="6" width="8.28515625" bestFit="1" customWidth="1"/>
    <col min="7" max="7" width="13.5703125" customWidth="1"/>
    <col min="8" max="8" width="21" style="7" customWidth="1"/>
  </cols>
  <sheetData>
    <row r="1" spans="2:11" ht="17.25" x14ac:dyDescent="0.25">
      <c r="K1" s="23"/>
    </row>
    <row r="2" spans="2:11" ht="17.25" x14ac:dyDescent="0.25">
      <c r="B2" s="12" t="s">
        <v>0</v>
      </c>
      <c r="C2" s="13" t="s">
        <v>1</v>
      </c>
      <c r="D2" s="13" t="s">
        <v>2</v>
      </c>
      <c r="E2" s="13" t="s">
        <v>3</v>
      </c>
      <c r="F2" s="13" t="s">
        <v>4</v>
      </c>
      <c r="G2" s="13" t="s">
        <v>5</v>
      </c>
      <c r="H2" s="26" t="s">
        <v>6</v>
      </c>
      <c r="K2" s="23"/>
    </row>
    <row r="3" spans="2:11" ht="17.25" x14ac:dyDescent="0.25">
      <c r="B3" s="3">
        <v>44563</v>
      </c>
      <c r="C3" s="2" t="s">
        <v>7</v>
      </c>
      <c r="D3" s="2" t="s">
        <v>8</v>
      </c>
      <c r="E3" s="2" t="s">
        <v>9</v>
      </c>
      <c r="F3" s="2" t="s">
        <v>10</v>
      </c>
      <c r="G3" s="2">
        <v>90</v>
      </c>
      <c r="H3" s="5">
        <v>116</v>
      </c>
      <c r="K3" s="23"/>
    </row>
    <row r="4" spans="2:11" ht="17.25" x14ac:dyDescent="0.25">
      <c r="B4" s="3">
        <v>44563</v>
      </c>
      <c r="C4" s="2" t="s">
        <v>11</v>
      </c>
      <c r="D4" s="2" t="s">
        <v>12</v>
      </c>
      <c r="E4" s="2" t="s">
        <v>13</v>
      </c>
      <c r="F4" s="2" t="s">
        <v>14</v>
      </c>
      <c r="G4" s="2">
        <v>18</v>
      </c>
      <c r="H4" s="5">
        <v>85</v>
      </c>
      <c r="K4" s="23"/>
    </row>
    <row r="5" spans="2:11" ht="17.25" x14ac:dyDescent="0.25">
      <c r="B5" s="3">
        <v>44563</v>
      </c>
      <c r="C5" s="2" t="s">
        <v>15</v>
      </c>
      <c r="D5" s="2" t="s">
        <v>8</v>
      </c>
      <c r="E5" s="2" t="s">
        <v>13</v>
      </c>
      <c r="F5" s="2" t="s">
        <v>14</v>
      </c>
      <c r="G5" s="2">
        <v>49</v>
      </c>
      <c r="H5" s="5">
        <v>142</v>
      </c>
      <c r="K5" s="23"/>
    </row>
    <row r="6" spans="2:11" x14ac:dyDescent="0.25">
      <c r="B6" s="3">
        <v>44563</v>
      </c>
      <c r="C6" s="2" t="s">
        <v>15</v>
      </c>
      <c r="D6" s="2" t="s">
        <v>8</v>
      </c>
      <c r="E6" s="2" t="s">
        <v>13</v>
      </c>
      <c r="F6" s="2" t="s">
        <v>16</v>
      </c>
      <c r="G6" s="2">
        <v>94</v>
      </c>
      <c r="H6" s="5">
        <v>28</v>
      </c>
    </row>
    <row r="7" spans="2:11" x14ac:dyDescent="0.25">
      <c r="B7" s="3">
        <v>44563</v>
      </c>
      <c r="C7" s="2" t="s">
        <v>7</v>
      </c>
      <c r="D7" s="2" t="s">
        <v>8</v>
      </c>
      <c r="E7" s="2" t="s">
        <v>13</v>
      </c>
      <c r="F7" s="2" t="s">
        <v>14</v>
      </c>
      <c r="G7" s="2">
        <v>64</v>
      </c>
      <c r="H7" s="5">
        <v>144</v>
      </c>
    </row>
    <row r="8" spans="2:11" x14ac:dyDescent="0.25">
      <c r="B8" s="3">
        <v>44564</v>
      </c>
      <c r="C8" s="2" t="s">
        <v>17</v>
      </c>
      <c r="D8" s="2" t="s">
        <v>18</v>
      </c>
      <c r="E8" s="2" t="s">
        <v>13</v>
      </c>
      <c r="F8" s="2" t="s">
        <v>10</v>
      </c>
      <c r="G8" s="2">
        <v>11</v>
      </c>
      <c r="H8" s="5">
        <v>86</v>
      </c>
    </row>
    <row r="9" spans="2:11" x14ac:dyDescent="0.25">
      <c r="B9" s="3">
        <v>44564</v>
      </c>
      <c r="C9" s="2" t="s">
        <v>19</v>
      </c>
      <c r="D9" s="2" t="s">
        <v>12</v>
      </c>
      <c r="E9" s="2" t="s">
        <v>13</v>
      </c>
      <c r="F9" s="2" t="s">
        <v>10</v>
      </c>
      <c r="G9" s="2">
        <v>64</v>
      </c>
      <c r="H9" s="5">
        <v>47</v>
      </c>
    </row>
    <row r="10" spans="2:11" x14ac:dyDescent="0.25">
      <c r="B10" s="3">
        <v>44564</v>
      </c>
      <c r="C10" s="2" t="s">
        <v>11</v>
      </c>
      <c r="D10" s="2" t="s">
        <v>12</v>
      </c>
      <c r="E10" s="2" t="s">
        <v>13</v>
      </c>
      <c r="F10" s="2" t="s">
        <v>16</v>
      </c>
      <c r="G10" s="2">
        <v>88</v>
      </c>
      <c r="H10" s="5">
        <v>84</v>
      </c>
    </row>
    <row r="11" spans="2:11" x14ac:dyDescent="0.25">
      <c r="B11" s="3">
        <v>44564</v>
      </c>
      <c r="C11" s="2" t="s">
        <v>20</v>
      </c>
      <c r="D11" s="2" t="s">
        <v>8</v>
      </c>
      <c r="E11" s="2" t="s">
        <v>13</v>
      </c>
      <c r="F11" s="2" t="s">
        <v>10</v>
      </c>
      <c r="G11" s="2">
        <v>81</v>
      </c>
      <c r="H11" s="5">
        <v>67</v>
      </c>
    </row>
    <row r="12" spans="2:11" x14ac:dyDescent="0.25">
      <c r="B12" s="3">
        <v>44564</v>
      </c>
      <c r="C12" s="2" t="s">
        <v>20</v>
      </c>
      <c r="D12" s="2" t="s">
        <v>8</v>
      </c>
      <c r="E12" s="2" t="s">
        <v>9</v>
      </c>
      <c r="F12" s="2" t="s">
        <v>10</v>
      </c>
      <c r="G12" s="2">
        <v>27</v>
      </c>
      <c r="H12" s="5">
        <v>79</v>
      </c>
    </row>
    <row r="13" spans="2:11" x14ac:dyDescent="0.25">
      <c r="B13" s="3">
        <v>44564</v>
      </c>
      <c r="C13" s="2" t="s">
        <v>21</v>
      </c>
      <c r="D13" s="2" t="s">
        <v>8</v>
      </c>
      <c r="E13" s="2" t="s">
        <v>9</v>
      </c>
      <c r="F13" s="2" t="s">
        <v>10</v>
      </c>
      <c r="G13" s="2">
        <v>20</v>
      </c>
      <c r="H13" s="5">
        <v>94</v>
      </c>
    </row>
    <row r="14" spans="2:11" x14ac:dyDescent="0.25">
      <c r="B14" s="3">
        <v>44564</v>
      </c>
      <c r="C14" s="2" t="s">
        <v>11</v>
      </c>
      <c r="D14" s="2" t="s">
        <v>12</v>
      </c>
      <c r="E14" s="2" t="s">
        <v>9</v>
      </c>
      <c r="F14" s="2" t="s">
        <v>16</v>
      </c>
      <c r="G14" s="2">
        <v>89</v>
      </c>
      <c r="H14" s="5">
        <v>41</v>
      </c>
    </row>
    <row r="15" spans="2:11" x14ac:dyDescent="0.25">
      <c r="B15" s="3">
        <v>44564</v>
      </c>
      <c r="C15" s="2" t="s">
        <v>11</v>
      </c>
      <c r="D15" s="2" t="s">
        <v>12</v>
      </c>
      <c r="E15" s="2" t="s">
        <v>13</v>
      </c>
      <c r="F15" s="2" t="s">
        <v>10</v>
      </c>
      <c r="G15" s="2">
        <v>51</v>
      </c>
      <c r="H15" s="5">
        <v>42</v>
      </c>
    </row>
    <row r="16" spans="2:11" x14ac:dyDescent="0.25">
      <c r="B16" s="3">
        <v>44565</v>
      </c>
      <c r="C16" s="2" t="s">
        <v>22</v>
      </c>
      <c r="D16" s="2" t="s">
        <v>12</v>
      </c>
      <c r="E16" s="2" t="s">
        <v>9</v>
      </c>
      <c r="F16" s="2" t="s">
        <v>10</v>
      </c>
      <c r="G16" s="2">
        <v>52</v>
      </c>
      <c r="H16" s="5">
        <v>58</v>
      </c>
    </row>
    <row r="17" spans="2:8" x14ac:dyDescent="0.25">
      <c r="B17" s="3">
        <v>44565</v>
      </c>
      <c r="C17" s="2" t="s">
        <v>21</v>
      </c>
      <c r="D17" s="2" t="s">
        <v>8</v>
      </c>
      <c r="E17" s="2" t="s">
        <v>13</v>
      </c>
      <c r="F17" s="2" t="s">
        <v>16</v>
      </c>
      <c r="G17" s="2">
        <v>68</v>
      </c>
      <c r="H17" s="5">
        <v>28</v>
      </c>
    </row>
    <row r="18" spans="2:8" x14ac:dyDescent="0.25">
      <c r="B18" s="3">
        <v>44565</v>
      </c>
      <c r="C18" s="2" t="s">
        <v>23</v>
      </c>
      <c r="D18" s="2" t="s">
        <v>18</v>
      </c>
      <c r="E18" s="2" t="s">
        <v>9</v>
      </c>
      <c r="F18" s="2" t="s">
        <v>10</v>
      </c>
      <c r="G18" s="2">
        <v>41</v>
      </c>
      <c r="H18" s="5">
        <v>54</v>
      </c>
    </row>
    <row r="19" spans="2:8" x14ac:dyDescent="0.25">
      <c r="B19" s="3">
        <v>44565</v>
      </c>
      <c r="C19" s="2" t="s">
        <v>19</v>
      </c>
      <c r="D19" s="2" t="s">
        <v>12</v>
      </c>
      <c r="E19" s="2" t="s">
        <v>13</v>
      </c>
      <c r="F19" s="2" t="s">
        <v>14</v>
      </c>
      <c r="G19" s="2">
        <v>82</v>
      </c>
      <c r="H19" s="5">
        <v>70</v>
      </c>
    </row>
    <row r="20" spans="2:8" x14ac:dyDescent="0.25">
      <c r="B20" s="3">
        <v>44566</v>
      </c>
      <c r="C20" s="2" t="s">
        <v>24</v>
      </c>
      <c r="D20" s="2" t="s">
        <v>18</v>
      </c>
      <c r="E20" s="2" t="s">
        <v>9</v>
      </c>
      <c r="F20" s="2" t="s">
        <v>10</v>
      </c>
      <c r="G20" s="2">
        <v>29</v>
      </c>
      <c r="H20" s="5">
        <v>54</v>
      </c>
    </row>
    <row r="21" spans="2:8" x14ac:dyDescent="0.25">
      <c r="B21" s="3">
        <v>44566</v>
      </c>
      <c r="C21" s="2" t="s">
        <v>20</v>
      </c>
      <c r="D21" s="2" t="s">
        <v>8</v>
      </c>
      <c r="E21" s="2" t="s">
        <v>13</v>
      </c>
      <c r="F21" s="2" t="s">
        <v>14</v>
      </c>
      <c r="G21" s="2">
        <v>10</v>
      </c>
      <c r="H21" s="5">
        <v>111</v>
      </c>
    </row>
    <row r="22" spans="2:8" x14ac:dyDescent="0.25">
      <c r="B22" s="3">
        <v>44566</v>
      </c>
      <c r="C22" s="2" t="s">
        <v>19</v>
      </c>
      <c r="D22" s="2" t="s">
        <v>12</v>
      </c>
      <c r="E22" s="2" t="s">
        <v>13</v>
      </c>
      <c r="F22" s="2" t="s">
        <v>16</v>
      </c>
      <c r="G22" s="2">
        <v>91</v>
      </c>
      <c r="H22" s="5">
        <v>72</v>
      </c>
    </row>
    <row r="23" spans="2:8" x14ac:dyDescent="0.25">
      <c r="B23" s="3">
        <v>44566</v>
      </c>
      <c r="C23" s="2" t="s">
        <v>20</v>
      </c>
      <c r="D23" s="2" t="s">
        <v>8</v>
      </c>
      <c r="E23" s="2" t="s">
        <v>13</v>
      </c>
      <c r="F23" s="2" t="s">
        <v>14</v>
      </c>
      <c r="G23" s="2">
        <v>44</v>
      </c>
      <c r="H23" s="5">
        <v>140</v>
      </c>
    </row>
    <row r="24" spans="2:8" x14ac:dyDescent="0.25">
      <c r="B24" s="3">
        <v>44566</v>
      </c>
      <c r="C24" s="2" t="s">
        <v>24</v>
      </c>
      <c r="D24" s="2" t="s">
        <v>18</v>
      </c>
      <c r="E24" s="2" t="s">
        <v>13</v>
      </c>
      <c r="F24" s="2" t="s">
        <v>14</v>
      </c>
      <c r="G24" s="2">
        <v>12</v>
      </c>
      <c r="H24" s="5">
        <v>87</v>
      </c>
    </row>
    <row r="25" spans="2:8" x14ac:dyDescent="0.25">
      <c r="B25" s="3">
        <v>44566</v>
      </c>
      <c r="C25" s="2" t="s">
        <v>25</v>
      </c>
      <c r="D25" s="2" t="s">
        <v>12</v>
      </c>
      <c r="E25" s="2" t="s">
        <v>13</v>
      </c>
      <c r="F25" s="2" t="s">
        <v>10</v>
      </c>
      <c r="G25" s="2">
        <v>10</v>
      </c>
      <c r="H25" s="5">
        <v>88</v>
      </c>
    </row>
    <row r="26" spans="2:8" x14ac:dyDescent="0.25">
      <c r="B26" s="3">
        <v>44567</v>
      </c>
      <c r="C26" s="2" t="s">
        <v>26</v>
      </c>
      <c r="D26" s="2" t="s">
        <v>12</v>
      </c>
      <c r="E26" s="2" t="s">
        <v>13</v>
      </c>
      <c r="F26" s="2" t="s">
        <v>14</v>
      </c>
      <c r="G26" s="2">
        <v>55</v>
      </c>
      <c r="H26" s="5">
        <v>37</v>
      </c>
    </row>
    <row r="27" spans="2:8" x14ac:dyDescent="0.25">
      <c r="B27" s="3">
        <v>44567</v>
      </c>
      <c r="C27" s="2" t="s">
        <v>20</v>
      </c>
      <c r="D27" s="2" t="s">
        <v>8</v>
      </c>
      <c r="E27" s="2" t="s">
        <v>9</v>
      </c>
      <c r="F27" s="2" t="s">
        <v>14</v>
      </c>
      <c r="G27" s="2">
        <v>56</v>
      </c>
      <c r="H27" s="5">
        <v>113</v>
      </c>
    </row>
    <row r="28" spans="2:8" x14ac:dyDescent="0.25">
      <c r="B28" s="3">
        <v>44568</v>
      </c>
      <c r="C28" s="2" t="s">
        <v>27</v>
      </c>
      <c r="D28" s="2" t="s">
        <v>18</v>
      </c>
      <c r="E28" s="2" t="s">
        <v>13</v>
      </c>
      <c r="F28" s="2" t="s">
        <v>10</v>
      </c>
      <c r="G28" s="2">
        <v>81</v>
      </c>
      <c r="H28" s="5">
        <v>148</v>
      </c>
    </row>
    <row r="29" spans="2:8" x14ac:dyDescent="0.25">
      <c r="B29" s="3">
        <v>44568</v>
      </c>
      <c r="C29" s="2" t="s">
        <v>24</v>
      </c>
      <c r="D29" s="2" t="s">
        <v>18</v>
      </c>
      <c r="E29" s="2" t="s">
        <v>13</v>
      </c>
      <c r="F29" s="2" t="s">
        <v>10</v>
      </c>
      <c r="G29" s="2">
        <v>14</v>
      </c>
      <c r="H29" s="5">
        <v>29</v>
      </c>
    </row>
    <row r="30" spans="2:8" x14ac:dyDescent="0.25">
      <c r="B30" s="3">
        <v>44568</v>
      </c>
      <c r="C30" s="2" t="s">
        <v>15</v>
      </c>
      <c r="D30" s="2" t="s">
        <v>8</v>
      </c>
      <c r="E30" s="2" t="s">
        <v>13</v>
      </c>
      <c r="F30" s="2" t="s">
        <v>10</v>
      </c>
      <c r="G30" s="2">
        <v>74</v>
      </c>
      <c r="H30" s="5">
        <v>113</v>
      </c>
    </row>
    <row r="31" spans="2:8" x14ac:dyDescent="0.25">
      <c r="B31" s="3">
        <v>44568</v>
      </c>
      <c r="C31" s="2" t="s">
        <v>20</v>
      </c>
      <c r="D31" s="2" t="s">
        <v>8</v>
      </c>
      <c r="E31" s="2" t="s">
        <v>13</v>
      </c>
      <c r="F31" s="2" t="s">
        <v>10</v>
      </c>
      <c r="G31" s="2">
        <v>31</v>
      </c>
      <c r="H31" s="5">
        <v>122</v>
      </c>
    </row>
    <row r="32" spans="2:8" x14ac:dyDescent="0.25">
      <c r="B32" s="3">
        <v>44568</v>
      </c>
      <c r="C32" s="2" t="s">
        <v>21</v>
      </c>
      <c r="D32" s="2" t="s">
        <v>8</v>
      </c>
      <c r="E32" s="2" t="s">
        <v>9</v>
      </c>
      <c r="F32" s="2" t="s">
        <v>16</v>
      </c>
      <c r="G32" s="2">
        <v>62</v>
      </c>
      <c r="H32" s="5">
        <v>140</v>
      </c>
    </row>
    <row r="33" spans="2:8" x14ac:dyDescent="0.25">
      <c r="B33" s="3">
        <v>44568</v>
      </c>
      <c r="C33" s="2" t="s">
        <v>20</v>
      </c>
      <c r="D33" s="2" t="s">
        <v>8</v>
      </c>
      <c r="E33" s="2" t="s">
        <v>9</v>
      </c>
      <c r="F33" s="2" t="s">
        <v>10</v>
      </c>
      <c r="G33" s="2">
        <v>16</v>
      </c>
      <c r="H33" s="5">
        <v>142</v>
      </c>
    </row>
    <row r="34" spans="2:8" x14ac:dyDescent="0.25">
      <c r="B34" s="3">
        <v>44569</v>
      </c>
      <c r="C34" s="2" t="s">
        <v>7</v>
      </c>
      <c r="D34" s="2" t="s">
        <v>8</v>
      </c>
      <c r="E34" s="2" t="s">
        <v>9</v>
      </c>
      <c r="F34" s="2" t="s">
        <v>16</v>
      </c>
      <c r="G34" s="2">
        <v>44</v>
      </c>
      <c r="H34" s="5">
        <v>107</v>
      </c>
    </row>
    <row r="35" spans="2:8" x14ac:dyDescent="0.25">
      <c r="B35" s="3">
        <v>44569</v>
      </c>
      <c r="C35" s="2" t="s">
        <v>20</v>
      </c>
      <c r="D35" s="2" t="s">
        <v>8</v>
      </c>
      <c r="E35" s="2" t="s">
        <v>9</v>
      </c>
      <c r="F35" s="2" t="s">
        <v>14</v>
      </c>
      <c r="G35" s="2">
        <v>69</v>
      </c>
      <c r="H35" s="5">
        <v>122</v>
      </c>
    </row>
    <row r="36" spans="2:8" x14ac:dyDescent="0.25">
      <c r="B36" s="3">
        <v>44569</v>
      </c>
      <c r="C36" s="2" t="s">
        <v>17</v>
      </c>
      <c r="D36" s="2" t="s">
        <v>18</v>
      </c>
      <c r="E36" s="2" t="s">
        <v>9</v>
      </c>
      <c r="F36" s="2" t="s">
        <v>16</v>
      </c>
      <c r="G36" s="2">
        <v>87</v>
      </c>
      <c r="H36" s="5">
        <v>27</v>
      </c>
    </row>
    <row r="37" spans="2:8" x14ac:dyDescent="0.25">
      <c r="B37" s="3">
        <v>44569</v>
      </c>
      <c r="C37" s="2" t="s">
        <v>17</v>
      </c>
      <c r="D37" s="2" t="s">
        <v>18</v>
      </c>
      <c r="E37" s="2" t="s">
        <v>13</v>
      </c>
      <c r="F37" s="2" t="s">
        <v>10</v>
      </c>
      <c r="G37" s="2">
        <v>75</v>
      </c>
      <c r="H37" s="5">
        <v>76</v>
      </c>
    </row>
    <row r="38" spans="2:8" x14ac:dyDescent="0.25">
      <c r="B38" s="3">
        <v>44569</v>
      </c>
      <c r="C38" s="2" t="s">
        <v>28</v>
      </c>
      <c r="D38" s="2" t="s">
        <v>8</v>
      </c>
      <c r="E38" s="2" t="s">
        <v>13</v>
      </c>
      <c r="F38" s="2" t="s">
        <v>14</v>
      </c>
      <c r="G38" s="2">
        <v>40</v>
      </c>
      <c r="H38" s="5">
        <v>58</v>
      </c>
    </row>
    <row r="39" spans="2:8" x14ac:dyDescent="0.25">
      <c r="B39" s="3">
        <v>44569</v>
      </c>
      <c r="C39" s="2" t="s">
        <v>20</v>
      </c>
      <c r="D39" s="2" t="s">
        <v>8</v>
      </c>
      <c r="E39" s="2" t="s">
        <v>9</v>
      </c>
      <c r="F39" s="2" t="s">
        <v>16</v>
      </c>
      <c r="G39" s="2">
        <v>54</v>
      </c>
      <c r="H39" s="5">
        <v>44</v>
      </c>
    </row>
    <row r="40" spans="2:8" x14ac:dyDescent="0.25">
      <c r="B40" s="3">
        <v>44569</v>
      </c>
      <c r="C40" s="2" t="s">
        <v>7</v>
      </c>
      <c r="D40" s="2" t="s">
        <v>8</v>
      </c>
      <c r="E40" s="2" t="s">
        <v>13</v>
      </c>
      <c r="F40" s="2" t="s">
        <v>14</v>
      </c>
      <c r="G40" s="2">
        <v>45</v>
      </c>
      <c r="H40" s="5">
        <v>84</v>
      </c>
    </row>
    <row r="41" spans="2:8" x14ac:dyDescent="0.25">
      <c r="B41" s="3">
        <v>44569</v>
      </c>
      <c r="C41" s="2" t="s">
        <v>17</v>
      </c>
      <c r="D41" s="2" t="s">
        <v>18</v>
      </c>
      <c r="E41" s="2" t="s">
        <v>13</v>
      </c>
      <c r="F41" s="2" t="s">
        <v>16</v>
      </c>
      <c r="G41" s="2">
        <v>90</v>
      </c>
      <c r="H41" s="5">
        <v>122</v>
      </c>
    </row>
    <row r="42" spans="2:8" x14ac:dyDescent="0.25">
      <c r="B42" s="3">
        <v>44569</v>
      </c>
      <c r="C42" s="2" t="s">
        <v>7</v>
      </c>
      <c r="D42" s="2" t="s">
        <v>8</v>
      </c>
      <c r="E42" s="2" t="s">
        <v>9</v>
      </c>
      <c r="F42" s="2" t="s">
        <v>14</v>
      </c>
      <c r="G42" s="2">
        <v>11</v>
      </c>
      <c r="H42" s="5">
        <v>106</v>
      </c>
    </row>
    <row r="43" spans="2:8" x14ac:dyDescent="0.25">
      <c r="B43" s="3">
        <v>44569</v>
      </c>
      <c r="C43" s="2" t="s">
        <v>22</v>
      </c>
      <c r="D43" s="2" t="s">
        <v>12</v>
      </c>
      <c r="E43" s="2" t="s">
        <v>13</v>
      </c>
      <c r="F43" s="2" t="s">
        <v>10</v>
      </c>
      <c r="G43" s="2">
        <v>43</v>
      </c>
      <c r="H43" s="5">
        <v>118</v>
      </c>
    </row>
    <row r="44" spans="2:8" x14ac:dyDescent="0.25">
      <c r="B44" s="3">
        <v>44569</v>
      </c>
      <c r="C44" s="2" t="s">
        <v>11</v>
      </c>
      <c r="D44" s="2" t="s">
        <v>12</v>
      </c>
      <c r="E44" s="2" t="s">
        <v>13</v>
      </c>
      <c r="F44" s="2" t="s">
        <v>14</v>
      </c>
      <c r="G44" s="2">
        <v>81</v>
      </c>
      <c r="H44" s="5">
        <v>52</v>
      </c>
    </row>
    <row r="45" spans="2:8" x14ac:dyDescent="0.25">
      <c r="B45" s="3">
        <v>44569</v>
      </c>
      <c r="C45" s="2" t="s">
        <v>21</v>
      </c>
      <c r="D45" s="2" t="s">
        <v>8</v>
      </c>
      <c r="E45" s="2" t="s">
        <v>13</v>
      </c>
      <c r="F45" s="2" t="s">
        <v>16</v>
      </c>
      <c r="G45" s="2">
        <v>32</v>
      </c>
      <c r="H45" s="5">
        <v>128</v>
      </c>
    </row>
    <row r="46" spans="2:8" x14ac:dyDescent="0.25">
      <c r="B46" s="3">
        <v>44569</v>
      </c>
      <c r="C46" s="2" t="s">
        <v>19</v>
      </c>
      <c r="D46" s="2" t="s">
        <v>12</v>
      </c>
      <c r="E46" s="2" t="s">
        <v>9</v>
      </c>
      <c r="F46" s="2" t="s">
        <v>14</v>
      </c>
      <c r="G46" s="2">
        <v>63</v>
      </c>
      <c r="H46" s="5">
        <v>94</v>
      </c>
    </row>
    <row r="47" spans="2:8" x14ac:dyDescent="0.25">
      <c r="B47" s="3">
        <v>44570</v>
      </c>
      <c r="C47" s="2" t="s">
        <v>19</v>
      </c>
      <c r="D47" s="2" t="s">
        <v>12</v>
      </c>
      <c r="E47" s="2" t="s">
        <v>13</v>
      </c>
      <c r="F47" s="2" t="s">
        <v>14</v>
      </c>
      <c r="G47" s="2">
        <v>32</v>
      </c>
      <c r="H47" s="5">
        <v>95</v>
      </c>
    </row>
    <row r="48" spans="2:8" x14ac:dyDescent="0.25">
      <c r="B48" s="3">
        <v>44570</v>
      </c>
      <c r="C48" s="2" t="s">
        <v>22</v>
      </c>
      <c r="D48" s="2" t="s">
        <v>12</v>
      </c>
      <c r="E48" s="2" t="s">
        <v>9</v>
      </c>
      <c r="F48" s="2" t="s">
        <v>10</v>
      </c>
      <c r="G48" s="2">
        <v>93</v>
      </c>
      <c r="H48" s="5">
        <v>106</v>
      </c>
    </row>
    <row r="49" spans="2:8" x14ac:dyDescent="0.25">
      <c r="B49" s="3">
        <v>44570</v>
      </c>
      <c r="C49" s="2" t="s">
        <v>23</v>
      </c>
      <c r="D49" s="2" t="s">
        <v>18</v>
      </c>
      <c r="E49" s="2" t="s">
        <v>9</v>
      </c>
      <c r="F49" s="2" t="s">
        <v>14</v>
      </c>
      <c r="G49" s="2">
        <v>94</v>
      </c>
      <c r="H49" s="5">
        <v>142</v>
      </c>
    </row>
    <row r="50" spans="2:8" x14ac:dyDescent="0.25">
      <c r="B50" s="3">
        <v>44570</v>
      </c>
      <c r="C50" s="2" t="s">
        <v>17</v>
      </c>
      <c r="D50" s="2" t="s">
        <v>18</v>
      </c>
      <c r="E50" s="2" t="s">
        <v>13</v>
      </c>
      <c r="F50" s="2" t="s">
        <v>14</v>
      </c>
      <c r="G50" s="2">
        <v>61</v>
      </c>
      <c r="H50" s="5">
        <v>106</v>
      </c>
    </row>
    <row r="51" spans="2:8" x14ac:dyDescent="0.25">
      <c r="B51" s="3">
        <v>44570</v>
      </c>
      <c r="C51" s="2" t="s">
        <v>29</v>
      </c>
      <c r="D51" s="2" t="s">
        <v>18</v>
      </c>
      <c r="E51" s="2" t="s">
        <v>9</v>
      </c>
      <c r="F51" s="2" t="s">
        <v>14</v>
      </c>
      <c r="G51" s="2">
        <v>41</v>
      </c>
      <c r="H51" s="5">
        <v>67</v>
      </c>
    </row>
    <row r="52" spans="2:8" x14ac:dyDescent="0.25">
      <c r="B52" s="3">
        <v>44570</v>
      </c>
      <c r="C52" s="2" t="s">
        <v>26</v>
      </c>
      <c r="D52" s="2" t="s">
        <v>12</v>
      </c>
      <c r="E52" s="2" t="s">
        <v>9</v>
      </c>
      <c r="F52" s="2" t="s">
        <v>14</v>
      </c>
      <c r="G52" s="2">
        <v>58</v>
      </c>
      <c r="H52" s="5">
        <v>115</v>
      </c>
    </row>
    <row r="53" spans="2:8" x14ac:dyDescent="0.25">
      <c r="B53" s="3">
        <v>44570</v>
      </c>
      <c r="C53" s="2" t="s">
        <v>22</v>
      </c>
      <c r="D53" s="2" t="s">
        <v>12</v>
      </c>
      <c r="E53" s="2" t="s">
        <v>13</v>
      </c>
      <c r="F53" s="2" t="s">
        <v>16</v>
      </c>
      <c r="G53" s="2">
        <v>52</v>
      </c>
      <c r="H53" s="5">
        <v>121</v>
      </c>
    </row>
    <row r="54" spans="2:8" x14ac:dyDescent="0.25">
      <c r="B54" s="3">
        <v>44570</v>
      </c>
      <c r="C54" s="2" t="s">
        <v>17</v>
      </c>
      <c r="D54" s="2" t="s">
        <v>18</v>
      </c>
      <c r="E54" s="2" t="s">
        <v>9</v>
      </c>
      <c r="F54" s="2" t="s">
        <v>14</v>
      </c>
      <c r="G54" s="2">
        <v>55</v>
      </c>
      <c r="H54" s="5">
        <v>78</v>
      </c>
    </row>
    <row r="55" spans="2:8" x14ac:dyDescent="0.25">
      <c r="B55" s="3">
        <v>44571</v>
      </c>
      <c r="C55" s="2" t="s">
        <v>15</v>
      </c>
      <c r="D55" s="2" t="s">
        <v>8</v>
      </c>
      <c r="E55" s="2" t="s">
        <v>13</v>
      </c>
      <c r="F55" s="2" t="s">
        <v>14</v>
      </c>
      <c r="G55" s="2">
        <v>88</v>
      </c>
      <c r="H55" s="5">
        <v>92</v>
      </c>
    </row>
    <row r="56" spans="2:8" x14ac:dyDescent="0.25">
      <c r="B56" s="3">
        <v>44571</v>
      </c>
      <c r="C56" s="2" t="s">
        <v>27</v>
      </c>
      <c r="D56" s="2" t="s">
        <v>18</v>
      </c>
      <c r="E56" s="2" t="s">
        <v>9</v>
      </c>
      <c r="F56" s="2" t="s">
        <v>14</v>
      </c>
      <c r="G56" s="2">
        <v>56</v>
      </c>
      <c r="H56" s="5">
        <v>28</v>
      </c>
    </row>
    <row r="57" spans="2:8" x14ac:dyDescent="0.25">
      <c r="B57" s="3">
        <v>44571</v>
      </c>
      <c r="C57" s="2" t="s">
        <v>21</v>
      </c>
      <c r="D57" s="2" t="s">
        <v>8</v>
      </c>
      <c r="E57" s="2" t="s">
        <v>9</v>
      </c>
      <c r="F57" s="2" t="s">
        <v>14</v>
      </c>
      <c r="G57" s="2">
        <v>86</v>
      </c>
      <c r="H57" s="5">
        <v>117</v>
      </c>
    </row>
    <row r="58" spans="2:8" x14ac:dyDescent="0.25">
      <c r="B58" s="3">
        <v>44571</v>
      </c>
      <c r="C58" s="2" t="s">
        <v>29</v>
      </c>
      <c r="D58" s="2" t="s">
        <v>18</v>
      </c>
      <c r="E58" s="2" t="s">
        <v>9</v>
      </c>
      <c r="F58" s="2" t="s">
        <v>16</v>
      </c>
      <c r="G58" s="2">
        <v>45</v>
      </c>
      <c r="H58" s="5">
        <v>84</v>
      </c>
    </row>
    <row r="59" spans="2:8" x14ac:dyDescent="0.25">
      <c r="B59" s="3">
        <v>44571</v>
      </c>
      <c r="C59" s="2" t="s">
        <v>29</v>
      </c>
      <c r="D59" s="2" t="s">
        <v>18</v>
      </c>
      <c r="E59" s="2" t="s">
        <v>13</v>
      </c>
      <c r="F59" s="2" t="s">
        <v>10</v>
      </c>
      <c r="G59" s="2">
        <v>31</v>
      </c>
      <c r="H59" s="5">
        <v>105</v>
      </c>
    </row>
    <row r="60" spans="2:8" x14ac:dyDescent="0.25">
      <c r="B60" s="3">
        <v>44571</v>
      </c>
      <c r="C60" s="2" t="s">
        <v>25</v>
      </c>
      <c r="D60" s="2" t="s">
        <v>12</v>
      </c>
      <c r="E60" s="2" t="s">
        <v>9</v>
      </c>
      <c r="F60" s="2" t="s">
        <v>16</v>
      </c>
      <c r="G60" s="2">
        <v>54</v>
      </c>
      <c r="H60" s="5">
        <v>127</v>
      </c>
    </row>
    <row r="61" spans="2:8" x14ac:dyDescent="0.25">
      <c r="B61" s="3">
        <v>44571</v>
      </c>
      <c r="C61" s="2" t="s">
        <v>22</v>
      </c>
      <c r="D61" s="2" t="s">
        <v>12</v>
      </c>
      <c r="E61" s="2" t="s">
        <v>13</v>
      </c>
      <c r="F61" s="2" t="s">
        <v>14</v>
      </c>
      <c r="G61" s="2">
        <v>32</v>
      </c>
      <c r="H61" s="5">
        <v>26</v>
      </c>
    </row>
    <row r="62" spans="2:8" x14ac:dyDescent="0.25">
      <c r="B62" s="3">
        <v>44571</v>
      </c>
      <c r="C62" s="2" t="s">
        <v>26</v>
      </c>
      <c r="D62" s="2" t="s">
        <v>12</v>
      </c>
      <c r="E62" s="2" t="s">
        <v>9</v>
      </c>
      <c r="F62" s="2" t="s">
        <v>16</v>
      </c>
      <c r="G62" s="2">
        <v>93</v>
      </c>
      <c r="H62" s="5">
        <v>130</v>
      </c>
    </row>
    <row r="63" spans="2:8" x14ac:dyDescent="0.25">
      <c r="B63" s="3">
        <v>44572</v>
      </c>
      <c r="C63" s="2" t="s">
        <v>20</v>
      </c>
      <c r="D63" s="2" t="s">
        <v>8</v>
      </c>
      <c r="E63" s="2" t="s">
        <v>13</v>
      </c>
      <c r="F63" s="2" t="s">
        <v>14</v>
      </c>
      <c r="G63" s="2">
        <v>100</v>
      </c>
      <c r="H63" s="5">
        <v>67</v>
      </c>
    </row>
    <row r="64" spans="2:8" x14ac:dyDescent="0.25">
      <c r="B64" s="3">
        <v>44572</v>
      </c>
      <c r="C64" s="2" t="s">
        <v>29</v>
      </c>
      <c r="D64" s="2" t="s">
        <v>18</v>
      </c>
      <c r="E64" s="2" t="s">
        <v>9</v>
      </c>
      <c r="F64" s="2" t="s">
        <v>10</v>
      </c>
      <c r="G64" s="2">
        <v>17</v>
      </c>
      <c r="H64" s="5">
        <v>72</v>
      </c>
    </row>
    <row r="65" spans="2:8" x14ac:dyDescent="0.25">
      <c r="B65" s="3">
        <v>44572</v>
      </c>
      <c r="C65" s="2" t="s">
        <v>29</v>
      </c>
      <c r="D65" s="2" t="s">
        <v>18</v>
      </c>
      <c r="E65" s="2" t="s">
        <v>13</v>
      </c>
      <c r="F65" s="2" t="s">
        <v>10</v>
      </c>
      <c r="G65" s="2">
        <v>47</v>
      </c>
      <c r="H65" s="5">
        <v>25</v>
      </c>
    </row>
    <row r="66" spans="2:8" x14ac:dyDescent="0.25">
      <c r="B66" s="3">
        <v>44572</v>
      </c>
      <c r="C66" s="2" t="s">
        <v>15</v>
      </c>
      <c r="D66" s="2" t="s">
        <v>8</v>
      </c>
      <c r="E66" s="2" t="s">
        <v>9</v>
      </c>
      <c r="F66" s="2" t="s">
        <v>16</v>
      </c>
      <c r="G66" s="2">
        <v>55</v>
      </c>
      <c r="H66" s="5">
        <v>120</v>
      </c>
    </row>
    <row r="67" spans="2:8" x14ac:dyDescent="0.25">
      <c r="B67" s="3">
        <v>44573</v>
      </c>
      <c r="C67" s="2" t="s">
        <v>19</v>
      </c>
      <c r="D67" s="2" t="s">
        <v>12</v>
      </c>
      <c r="E67" s="2" t="s">
        <v>13</v>
      </c>
      <c r="F67" s="2" t="s">
        <v>16</v>
      </c>
      <c r="G67" s="2">
        <v>28</v>
      </c>
      <c r="H67" s="5">
        <v>126</v>
      </c>
    </row>
    <row r="68" spans="2:8" x14ac:dyDescent="0.25">
      <c r="B68" s="3">
        <v>44573</v>
      </c>
      <c r="C68" s="2" t="s">
        <v>29</v>
      </c>
      <c r="D68" s="2" t="s">
        <v>18</v>
      </c>
      <c r="E68" s="2" t="s">
        <v>9</v>
      </c>
      <c r="F68" s="2" t="s">
        <v>14</v>
      </c>
      <c r="G68" s="2">
        <v>48</v>
      </c>
      <c r="H68" s="5">
        <v>150</v>
      </c>
    </row>
    <row r="69" spans="2:8" x14ac:dyDescent="0.25">
      <c r="B69" s="3">
        <v>44573</v>
      </c>
      <c r="C69" s="2" t="s">
        <v>7</v>
      </c>
      <c r="D69" s="2" t="s">
        <v>8</v>
      </c>
      <c r="E69" s="2" t="s">
        <v>9</v>
      </c>
      <c r="F69" s="2" t="s">
        <v>10</v>
      </c>
      <c r="G69" s="2">
        <v>36</v>
      </c>
      <c r="H69" s="5">
        <v>23</v>
      </c>
    </row>
    <row r="70" spans="2:8" x14ac:dyDescent="0.25">
      <c r="B70" s="3">
        <v>44574</v>
      </c>
      <c r="C70" s="2" t="s">
        <v>25</v>
      </c>
      <c r="D70" s="2" t="s">
        <v>12</v>
      </c>
      <c r="E70" s="2" t="s">
        <v>9</v>
      </c>
      <c r="F70" s="2" t="s">
        <v>14</v>
      </c>
      <c r="G70" s="2">
        <v>41</v>
      </c>
      <c r="H70" s="5">
        <v>116</v>
      </c>
    </row>
    <row r="71" spans="2:8" x14ac:dyDescent="0.25">
      <c r="B71" s="3">
        <v>44574</v>
      </c>
      <c r="C71" s="2" t="s">
        <v>26</v>
      </c>
      <c r="D71" s="2" t="s">
        <v>12</v>
      </c>
      <c r="E71" s="2" t="s">
        <v>9</v>
      </c>
      <c r="F71" s="2" t="s">
        <v>10</v>
      </c>
      <c r="G71" s="2">
        <v>88</v>
      </c>
      <c r="H71" s="5">
        <v>80</v>
      </c>
    </row>
    <row r="72" spans="2:8" x14ac:dyDescent="0.25">
      <c r="B72" s="3">
        <v>44574</v>
      </c>
      <c r="C72" s="2" t="s">
        <v>28</v>
      </c>
      <c r="D72" s="2" t="s">
        <v>8</v>
      </c>
      <c r="E72" s="2" t="s">
        <v>13</v>
      </c>
      <c r="F72" s="2" t="s">
        <v>14</v>
      </c>
      <c r="G72" s="2">
        <v>85</v>
      </c>
      <c r="H72" s="5">
        <v>115</v>
      </c>
    </row>
    <row r="73" spans="2:8" x14ac:dyDescent="0.25">
      <c r="B73" s="3">
        <v>44574</v>
      </c>
      <c r="C73" s="2" t="s">
        <v>25</v>
      </c>
      <c r="D73" s="2" t="s">
        <v>12</v>
      </c>
      <c r="E73" s="2" t="s">
        <v>9</v>
      </c>
      <c r="F73" s="2" t="s">
        <v>10</v>
      </c>
      <c r="G73" s="2">
        <v>81</v>
      </c>
      <c r="H73" s="5">
        <v>20</v>
      </c>
    </row>
    <row r="74" spans="2:8" x14ac:dyDescent="0.25">
      <c r="B74" s="3">
        <v>44574</v>
      </c>
      <c r="C74" s="2" t="s">
        <v>7</v>
      </c>
      <c r="D74" s="2" t="s">
        <v>8</v>
      </c>
      <c r="E74" s="2" t="s">
        <v>13</v>
      </c>
      <c r="F74" s="2" t="s">
        <v>10</v>
      </c>
      <c r="G74" s="2">
        <v>85</v>
      </c>
      <c r="H74" s="5">
        <v>68</v>
      </c>
    </row>
    <row r="75" spans="2:8" x14ac:dyDescent="0.25">
      <c r="B75" s="3">
        <v>44574</v>
      </c>
      <c r="C75" s="2" t="s">
        <v>17</v>
      </c>
      <c r="D75" s="2" t="s">
        <v>18</v>
      </c>
      <c r="E75" s="2" t="s">
        <v>9</v>
      </c>
      <c r="F75" s="2" t="s">
        <v>14</v>
      </c>
      <c r="G75" s="2">
        <v>10</v>
      </c>
      <c r="H75" s="5">
        <v>133</v>
      </c>
    </row>
    <row r="76" spans="2:8" x14ac:dyDescent="0.25">
      <c r="B76" s="3">
        <v>44574</v>
      </c>
      <c r="C76" s="2" t="s">
        <v>25</v>
      </c>
      <c r="D76" s="2" t="s">
        <v>12</v>
      </c>
      <c r="E76" s="2" t="s">
        <v>13</v>
      </c>
      <c r="F76" s="2" t="s">
        <v>14</v>
      </c>
      <c r="G76" s="2">
        <v>37</v>
      </c>
      <c r="H76" s="5">
        <v>146</v>
      </c>
    </row>
    <row r="77" spans="2:8" x14ac:dyDescent="0.25">
      <c r="B77" s="3">
        <v>44574</v>
      </c>
      <c r="C77" s="2" t="s">
        <v>7</v>
      </c>
      <c r="D77" s="2" t="s">
        <v>8</v>
      </c>
      <c r="E77" s="2" t="s">
        <v>13</v>
      </c>
      <c r="F77" s="2" t="s">
        <v>14</v>
      </c>
      <c r="G77" s="2">
        <v>14</v>
      </c>
      <c r="H77" s="5">
        <v>128</v>
      </c>
    </row>
    <row r="78" spans="2:8" x14ac:dyDescent="0.25">
      <c r="B78" s="3">
        <v>44574</v>
      </c>
      <c r="C78" s="2" t="s">
        <v>23</v>
      </c>
      <c r="D78" s="2" t="s">
        <v>18</v>
      </c>
      <c r="E78" s="2" t="s">
        <v>13</v>
      </c>
      <c r="F78" s="2" t="s">
        <v>14</v>
      </c>
      <c r="G78" s="2">
        <v>58</v>
      </c>
      <c r="H78" s="5">
        <v>48</v>
      </c>
    </row>
    <row r="79" spans="2:8" x14ac:dyDescent="0.25">
      <c r="B79" s="3">
        <v>44574</v>
      </c>
      <c r="C79" s="2" t="s">
        <v>15</v>
      </c>
      <c r="D79" s="2" t="s">
        <v>8</v>
      </c>
      <c r="E79" s="2" t="s">
        <v>13</v>
      </c>
      <c r="F79" s="2" t="s">
        <v>16</v>
      </c>
      <c r="G79" s="2">
        <v>85</v>
      </c>
      <c r="H79" s="5">
        <v>64</v>
      </c>
    </row>
    <row r="80" spans="2:8" x14ac:dyDescent="0.25">
      <c r="B80" s="3">
        <v>44575</v>
      </c>
      <c r="C80" s="2" t="s">
        <v>20</v>
      </c>
      <c r="D80" s="2" t="s">
        <v>8</v>
      </c>
      <c r="E80" s="2" t="s">
        <v>9</v>
      </c>
      <c r="F80" s="2" t="s">
        <v>14</v>
      </c>
      <c r="G80" s="2">
        <v>55</v>
      </c>
      <c r="H80" s="5">
        <v>68</v>
      </c>
    </row>
    <row r="81" spans="2:8" x14ac:dyDescent="0.25">
      <c r="B81" s="3">
        <v>44575</v>
      </c>
      <c r="C81" s="2" t="s">
        <v>17</v>
      </c>
      <c r="D81" s="2" t="s">
        <v>18</v>
      </c>
      <c r="E81" s="2" t="s">
        <v>13</v>
      </c>
      <c r="F81" s="2" t="s">
        <v>14</v>
      </c>
      <c r="G81" s="2">
        <v>99</v>
      </c>
      <c r="H81" s="5">
        <v>52</v>
      </c>
    </row>
    <row r="82" spans="2:8" x14ac:dyDescent="0.25">
      <c r="B82" s="3">
        <v>44575</v>
      </c>
      <c r="C82" s="2" t="s">
        <v>17</v>
      </c>
      <c r="D82" s="2" t="s">
        <v>18</v>
      </c>
      <c r="E82" s="2" t="s">
        <v>13</v>
      </c>
      <c r="F82" s="2" t="s">
        <v>14</v>
      </c>
      <c r="G82" s="2">
        <v>52</v>
      </c>
      <c r="H82" s="5">
        <v>147</v>
      </c>
    </row>
    <row r="83" spans="2:8" x14ac:dyDescent="0.25">
      <c r="B83" s="3">
        <v>44575</v>
      </c>
      <c r="C83" s="2" t="s">
        <v>24</v>
      </c>
      <c r="D83" s="2" t="s">
        <v>18</v>
      </c>
      <c r="E83" s="2" t="s">
        <v>13</v>
      </c>
      <c r="F83" s="2" t="s">
        <v>10</v>
      </c>
      <c r="G83" s="2">
        <v>87</v>
      </c>
      <c r="H83" s="5">
        <v>147</v>
      </c>
    </row>
    <row r="84" spans="2:8" x14ac:dyDescent="0.25">
      <c r="B84" s="3">
        <v>44575</v>
      </c>
      <c r="C84" s="2" t="s">
        <v>27</v>
      </c>
      <c r="D84" s="2" t="s">
        <v>18</v>
      </c>
      <c r="E84" s="2" t="s">
        <v>13</v>
      </c>
      <c r="F84" s="2" t="s">
        <v>16</v>
      </c>
      <c r="G84" s="2">
        <v>58</v>
      </c>
      <c r="H84" s="5">
        <v>35</v>
      </c>
    </row>
    <row r="85" spans="2:8" x14ac:dyDescent="0.25">
      <c r="B85" s="3">
        <v>44575</v>
      </c>
      <c r="C85" s="2" t="s">
        <v>27</v>
      </c>
      <c r="D85" s="2" t="s">
        <v>18</v>
      </c>
      <c r="E85" s="2" t="s">
        <v>9</v>
      </c>
      <c r="F85" s="2" t="s">
        <v>14</v>
      </c>
      <c r="G85" s="2">
        <v>20</v>
      </c>
      <c r="H85" s="5">
        <v>55</v>
      </c>
    </row>
    <row r="86" spans="2:8" x14ac:dyDescent="0.25">
      <c r="B86" s="3">
        <v>44576</v>
      </c>
      <c r="C86" s="2" t="s">
        <v>19</v>
      </c>
      <c r="D86" s="2" t="s">
        <v>12</v>
      </c>
      <c r="E86" s="2" t="s">
        <v>13</v>
      </c>
      <c r="F86" s="2" t="s">
        <v>10</v>
      </c>
      <c r="G86" s="2">
        <v>28</v>
      </c>
      <c r="H86" s="5">
        <v>137</v>
      </c>
    </row>
    <row r="87" spans="2:8" x14ac:dyDescent="0.25">
      <c r="B87" s="3">
        <v>44576</v>
      </c>
      <c r="C87" s="2" t="s">
        <v>7</v>
      </c>
      <c r="D87" s="2" t="s">
        <v>8</v>
      </c>
      <c r="E87" s="2" t="s">
        <v>9</v>
      </c>
      <c r="F87" s="2" t="s">
        <v>16</v>
      </c>
      <c r="G87" s="2">
        <v>39</v>
      </c>
      <c r="H87" s="5">
        <v>83</v>
      </c>
    </row>
    <row r="88" spans="2:8" x14ac:dyDescent="0.25">
      <c r="B88" s="3">
        <v>44576</v>
      </c>
      <c r="C88" s="2" t="s">
        <v>19</v>
      </c>
      <c r="D88" s="2" t="s">
        <v>12</v>
      </c>
      <c r="E88" s="2" t="s">
        <v>13</v>
      </c>
      <c r="F88" s="2" t="s">
        <v>16</v>
      </c>
      <c r="G88" s="2">
        <v>37</v>
      </c>
      <c r="H88" s="5">
        <v>136</v>
      </c>
    </row>
    <row r="89" spans="2:8" x14ac:dyDescent="0.25">
      <c r="B89" s="3">
        <v>44576</v>
      </c>
      <c r="C89" s="2" t="s">
        <v>19</v>
      </c>
      <c r="D89" s="2" t="s">
        <v>12</v>
      </c>
      <c r="E89" s="2" t="s">
        <v>9</v>
      </c>
      <c r="F89" s="2" t="s">
        <v>10</v>
      </c>
      <c r="G89" s="2">
        <v>73</v>
      </c>
      <c r="H89" s="5">
        <v>90</v>
      </c>
    </row>
    <row r="90" spans="2:8" x14ac:dyDescent="0.25">
      <c r="B90" s="3">
        <v>44576</v>
      </c>
      <c r="C90" s="2" t="s">
        <v>27</v>
      </c>
      <c r="D90" s="2" t="s">
        <v>18</v>
      </c>
      <c r="E90" s="2" t="s">
        <v>13</v>
      </c>
      <c r="F90" s="2" t="s">
        <v>10</v>
      </c>
      <c r="G90" s="2">
        <v>38</v>
      </c>
      <c r="H90" s="5">
        <v>27</v>
      </c>
    </row>
    <row r="91" spans="2:8" x14ac:dyDescent="0.25">
      <c r="B91" s="3">
        <v>44576</v>
      </c>
      <c r="C91" s="2" t="s">
        <v>22</v>
      </c>
      <c r="D91" s="2" t="s">
        <v>12</v>
      </c>
      <c r="E91" s="2" t="s">
        <v>13</v>
      </c>
      <c r="F91" s="2" t="s">
        <v>10</v>
      </c>
      <c r="G91" s="2">
        <v>38</v>
      </c>
      <c r="H91" s="5">
        <v>35</v>
      </c>
    </row>
    <row r="92" spans="2:8" x14ac:dyDescent="0.25">
      <c r="B92" s="3">
        <v>44576</v>
      </c>
      <c r="C92" s="2" t="s">
        <v>19</v>
      </c>
      <c r="D92" s="2" t="s">
        <v>12</v>
      </c>
      <c r="E92" s="2" t="s">
        <v>13</v>
      </c>
      <c r="F92" s="2" t="s">
        <v>14</v>
      </c>
      <c r="G92" s="2">
        <v>28</v>
      </c>
      <c r="H92" s="5">
        <v>39</v>
      </c>
    </row>
    <row r="93" spans="2:8" x14ac:dyDescent="0.25">
      <c r="B93" s="3">
        <v>44576</v>
      </c>
      <c r="C93" s="2" t="s">
        <v>25</v>
      </c>
      <c r="D93" s="2" t="s">
        <v>12</v>
      </c>
      <c r="E93" s="2" t="s">
        <v>9</v>
      </c>
      <c r="F93" s="2" t="s">
        <v>16</v>
      </c>
      <c r="G93" s="2">
        <v>82</v>
      </c>
      <c r="H93" s="5">
        <v>117</v>
      </c>
    </row>
    <row r="94" spans="2:8" x14ac:dyDescent="0.25">
      <c r="B94" s="3">
        <v>44577</v>
      </c>
      <c r="C94" s="2" t="s">
        <v>23</v>
      </c>
      <c r="D94" s="2" t="s">
        <v>18</v>
      </c>
      <c r="E94" s="2" t="s">
        <v>13</v>
      </c>
      <c r="F94" s="2" t="s">
        <v>16</v>
      </c>
      <c r="G94" s="2">
        <v>84</v>
      </c>
      <c r="H94" s="5">
        <v>84</v>
      </c>
    </row>
    <row r="95" spans="2:8" x14ac:dyDescent="0.25">
      <c r="B95" s="3">
        <v>44577</v>
      </c>
      <c r="C95" s="2" t="s">
        <v>24</v>
      </c>
      <c r="D95" s="2" t="s">
        <v>18</v>
      </c>
      <c r="E95" s="2" t="s">
        <v>9</v>
      </c>
      <c r="F95" s="2" t="s">
        <v>16</v>
      </c>
      <c r="G95" s="2">
        <v>75</v>
      </c>
      <c r="H95" s="5">
        <v>96</v>
      </c>
    </row>
    <row r="96" spans="2:8" x14ac:dyDescent="0.25">
      <c r="B96" s="3">
        <v>44577</v>
      </c>
      <c r="C96" s="2" t="s">
        <v>29</v>
      </c>
      <c r="D96" s="2" t="s">
        <v>18</v>
      </c>
      <c r="E96" s="2" t="s">
        <v>9</v>
      </c>
      <c r="F96" s="2" t="s">
        <v>16</v>
      </c>
      <c r="G96" s="2">
        <v>40</v>
      </c>
      <c r="H96" s="5">
        <v>105</v>
      </c>
    </row>
    <row r="97" spans="2:8" x14ac:dyDescent="0.25">
      <c r="B97" s="3">
        <v>44577</v>
      </c>
      <c r="C97" s="2" t="s">
        <v>11</v>
      </c>
      <c r="D97" s="2" t="s">
        <v>12</v>
      </c>
      <c r="E97" s="2" t="s">
        <v>13</v>
      </c>
      <c r="F97" s="2" t="s">
        <v>10</v>
      </c>
      <c r="G97" s="2">
        <v>43</v>
      </c>
      <c r="H97" s="5">
        <v>68</v>
      </c>
    </row>
    <row r="98" spans="2:8" x14ac:dyDescent="0.25">
      <c r="B98" s="3">
        <v>44577</v>
      </c>
      <c r="C98" s="2" t="s">
        <v>20</v>
      </c>
      <c r="D98" s="2" t="s">
        <v>8</v>
      </c>
      <c r="E98" s="2" t="s">
        <v>13</v>
      </c>
      <c r="F98" s="2" t="s">
        <v>14</v>
      </c>
      <c r="G98" s="2">
        <v>27</v>
      </c>
      <c r="H98" s="5">
        <v>144</v>
      </c>
    </row>
    <row r="99" spans="2:8" x14ac:dyDescent="0.25">
      <c r="B99" s="3">
        <v>44577</v>
      </c>
      <c r="C99" s="2" t="s">
        <v>15</v>
      </c>
      <c r="D99" s="2" t="s">
        <v>8</v>
      </c>
      <c r="E99" s="2" t="s">
        <v>13</v>
      </c>
      <c r="F99" s="2" t="s">
        <v>16</v>
      </c>
      <c r="G99" s="2">
        <v>24</v>
      </c>
      <c r="H99" s="5">
        <v>118</v>
      </c>
    </row>
    <row r="100" spans="2:8" x14ac:dyDescent="0.25">
      <c r="B100" s="3">
        <v>44577</v>
      </c>
      <c r="C100" s="2" t="s">
        <v>22</v>
      </c>
      <c r="D100" s="2" t="s">
        <v>12</v>
      </c>
      <c r="E100" s="2" t="s">
        <v>9</v>
      </c>
      <c r="F100" s="2" t="s">
        <v>16</v>
      </c>
      <c r="G100" s="2">
        <v>15</v>
      </c>
      <c r="H100" s="5">
        <v>120</v>
      </c>
    </row>
    <row r="101" spans="2:8" x14ac:dyDescent="0.25">
      <c r="B101" s="3">
        <v>44577</v>
      </c>
      <c r="C101" s="2" t="s">
        <v>22</v>
      </c>
      <c r="D101" s="2" t="s">
        <v>12</v>
      </c>
      <c r="E101" s="2" t="s">
        <v>9</v>
      </c>
      <c r="F101" s="2" t="s">
        <v>10</v>
      </c>
      <c r="G101" s="2">
        <v>62</v>
      </c>
      <c r="H101" s="5">
        <v>125</v>
      </c>
    </row>
    <row r="102" spans="2:8" x14ac:dyDescent="0.25">
      <c r="B102" s="3">
        <v>44577</v>
      </c>
      <c r="C102" s="2" t="s">
        <v>25</v>
      </c>
      <c r="D102" s="2" t="s">
        <v>12</v>
      </c>
      <c r="E102" s="2" t="s">
        <v>9</v>
      </c>
      <c r="F102" s="2" t="s">
        <v>14</v>
      </c>
      <c r="G102" s="2">
        <v>29</v>
      </c>
      <c r="H102" s="5">
        <v>141</v>
      </c>
    </row>
    <row r="103" spans="2:8" x14ac:dyDescent="0.25">
      <c r="B103" s="3">
        <v>44578</v>
      </c>
      <c r="C103" s="2" t="s">
        <v>17</v>
      </c>
      <c r="D103" s="2" t="s">
        <v>18</v>
      </c>
      <c r="E103" s="2" t="s">
        <v>9</v>
      </c>
      <c r="F103" s="2" t="s">
        <v>10</v>
      </c>
      <c r="G103" s="2">
        <v>64</v>
      </c>
      <c r="H103" s="5">
        <v>119</v>
      </c>
    </row>
    <row r="104" spans="2:8" x14ac:dyDescent="0.25">
      <c r="B104" s="3">
        <v>44578</v>
      </c>
      <c r="C104" s="2" t="s">
        <v>27</v>
      </c>
      <c r="D104" s="2" t="s">
        <v>18</v>
      </c>
      <c r="E104" s="2" t="s">
        <v>13</v>
      </c>
      <c r="F104" s="2" t="s">
        <v>16</v>
      </c>
      <c r="G104" s="2">
        <v>28</v>
      </c>
      <c r="H104" s="5">
        <v>78</v>
      </c>
    </row>
    <row r="105" spans="2:8" x14ac:dyDescent="0.25">
      <c r="B105" s="3">
        <v>44578</v>
      </c>
      <c r="C105" s="2" t="s">
        <v>28</v>
      </c>
      <c r="D105" s="2" t="s">
        <v>8</v>
      </c>
      <c r="E105" s="2" t="s">
        <v>9</v>
      </c>
      <c r="F105" s="2" t="s">
        <v>14</v>
      </c>
      <c r="G105" s="2">
        <v>13</v>
      </c>
      <c r="H105" s="5">
        <v>80</v>
      </c>
    </row>
    <row r="106" spans="2:8" x14ac:dyDescent="0.25">
      <c r="B106" s="3">
        <v>44578</v>
      </c>
      <c r="C106" s="2" t="s">
        <v>29</v>
      </c>
      <c r="D106" s="2" t="s">
        <v>18</v>
      </c>
      <c r="E106" s="2" t="s">
        <v>9</v>
      </c>
      <c r="F106" s="2" t="s">
        <v>16</v>
      </c>
      <c r="G106" s="2">
        <v>65</v>
      </c>
      <c r="H106" s="5">
        <v>114</v>
      </c>
    </row>
    <row r="107" spans="2:8" x14ac:dyDescent="0.25">
      <c r="B107" s="3">
        <v>44578</v>
      </c>
      <c r="C107" s="2" t="s">
        <v>11</v>
      </c>
      <c r="D107" s="2" t="s">
        <v>12</v>
      </c>
      <c r="E107" s="2" t="s">
        <v>9</v>
      </c>
      <c r="F107" s="2" t="s">
        <v>16</v>
      </c>
      <c r="G107" s="2">
        <v>48</v>
      </c>
      <c r="H107" s="5">
        <v>140</v>
      </c>
    </row>
    <row r="108" spans="2:8" x14ac:dyDescent="0.25">
      <c r="B108" s="3">
        <v>44579</v>
      </c>
      <c r="C108" s="2" t="s">
        <v>27</v>
      </c>
      <c r="D108" s="2" t="s">
        <v>18</v>
      </c>
      <c r="E108" s="2" t="s">
        <v>13</v>
      </c>
      <c r="F108" s="2" t="s">
        <v>10</v>
      </c>
      <c r="G108" s="2">
        <v>11</v>
      </c>
      <c r="H108" s="5">
        <v>82</v>
      </c>
    </row>
    <row r="109" spans="2:8" x14ac:dyDescent="0.25">
      <c r="B109" s="3">
        <v>44579</v>
      </c>
      <c r="C109" s="2" t="s">
        <v>7</v>
      </c>
      <c r="D109" s="2" t="s">
        <v>8</v>
      </c>
      <c r="E109" s="2" t="s">
        <v>13</v>
      </c>
      <c r="F109" s="2" t="s">
        <v>14</v>
      </c>
      <c r="G109" s="2">
        <v>79</v>
      </c>
      <c r="H109" s="5">
        <v>145</v>
      </c>
    </row>
    <row r="110" spans="2:8" x14ac:dyDescent="0.25">
      <c r="B110" s="3">
        <v>44579</v>
      </c>
      <c r="C110" s="2" t="s">
        <v>29</v>
      </c>
      <c r="D110" s="2" t="s">
        <v>18</v>
      </c>
      <c r="E110" s="2" t="s">
        <v>13</v>
      </c>
      <c r="F110" s="2" t="s">
        <v>16</v>
      </c>
      <c r="G110" s="2">
        <v>66</v>
      </c>
      <c r="H110" s="5">
        <v>43</v>
      </c>
    </row>
    <row r="111" spans="2:8" x14ac:dyDescent="0.25">
      <c r="B111" s="3">
        <v>44579</v>
      </c>
      <c r="C111" s="2" t="s">
        <v>17</v>
      </c>
      <c r="D111" s="2" t="s">
        <v>18</v>
      </c>
      <c r="E111" s="2" t="s">
        <v>13</v>
      </c>
      <c r="F111" s="2" t="s">
        <v>14</v>
      </c>
      <c r="G111" s="2">
        <v>19</v>
      </c>
      <c r="H111" s="5">
        <v>129</v>
      </c>
    </row>
    <row r="112" spans="2:8" x14ac:dyDescent="0.25">
      <c r="B112" s="3">
        <v>44580</v>
      </c>
      <c r="C112" s="2" t="s">
        <v>21</v>
      </c>
      <c r="D112" s="2" t="s">
        <v>8</v>
      </c>
      <c r="E112" s="2" t="s">
        <v>9</v>
      </c>
      <c r="F112" s="2" t="s">
        <v>16</v>
      </c>
      <c r="G112" s="2">
        <v>16</v>
      </c>
      <c r="H112" s="5">
        <v>122</v>
      </c>
    </row>
    <row r="113" spans="2:8" x14ac:dyDescent="0.25">
      <c r="B113" s="3">
        <v>44580</v>
      </c>
      <c r="C113" s="2" t="s">
        <v>19</v>
      </c>
      <c r="D113" s="2" t="s">
        <v>12</v>
      </c>
      <c r="E113" s="2" t="s">
        <v>9</v>
      </c>
      <c r="F113" s="2" t="s">
        <v>10</v>
      </c>
      <c r="G113" s="2">
        <v>88</v>
      </c>
      <c r="H113" s="5">
        <v>113</v>
      </c>
    </row>
    <row r="114" spans="2:8" x14ac:dyDescent="0.25">
      <c r="B114" s="3">
        <v>44580</v>
      </c>
      <c r="C114" s="2" t="s">
        <v>7</v>
      </c>
      <c r="D114" s="2" t="s">
        <v>8</v>
      </c>
      <c r="E114" s="2" t="s">
        <v>9</v>
      </c>
      <c r="F114" s="2" t="s">
        <v>16</v>
      </c>
      <c r="G114" s="2">
        <v>67</v>
      </c>
      <c r="H114" s="5">
        <v>76</v>
      </c>
    </row>
    <row r="115" spans="2:8" x14ac:dyDescent="0.25">
      <c r="B115" s="3">
        <v>44580</v>
      </c>
      <c r="C115" s="2" t="s">
        <v>24</v>
      </c>
      <c r="D115" s="2" t="s">
        <v>18</v>
      </c>
      <c r="E115" s="2" t="s">
        <v>9</v>
      </c>
      <c r="F115" s="2" t="s">
        <v>14</v>
      </c>
      <c r="G115" s="2">
        <v>26</v>
      </c>
      <c r="H115" s="5">
        <v>141</v>
      </c>
    </row>
    <row r="116" spans="2:8" x14ac:dyDescent="0.25">
      <c r="B116" s="3">
        <v>44580</v>
      </c>
      <c r="C116" s="2" t="s">
        <v>22</v>
      </c>
      <c r="D116" s="2" t="s">
        <v>12</v>
      </c>
      <c r="E116" s="2" t="s">
        <v>9</v>
      </c>
      <c r="F116" s="2" t="s">
        <v>14</v>
      </c>
      <c r="G116" s="2">
        <v>16</v>
      </c>
      <c r="H116" s="5">
        <v>76</v>
      </c>
    </row>
    <row r="117" spans="2:8" x14ac:dyDescent="0.25">
      <c r="B117" s="3">
        <v>44580</v>
      </c>
      <c r="C117" s="2" t="s">
        <v>26</v>
      </c>
      <c r="D117" s="2" t="s">
        <v>12</v>
      </c>
      <c r="E117" s="2" t="s">
        <v>9</v>
      </c>
      <c r="F117" s="2" t="s">
        <v>14</v>
      </c>
      <c r="G117" s="2">
        <v>69</v>
      </c>
      <c r="H117" s="5">
        <v>31</v>
      </c>
    </row>
    <row r="118" spans="2:8" x14ac:dyDescent="0.25">
      <c r="B118" s="3">
        <v>44580</v>
      </c>
      <c r="C118" s="2" t="s">
        <v>22</v>
      </c>
      <c r="D118" s="2" t="s">
        <v>12</v>
      </c>
      <c r="E118" s="2" t="s">
        <v>9</v>
      </c>
      <c r="F118" s="2" t="s">
        <v>10</v>
      </c>
      <c r="G118" s="2">
        <v>59</v>
      </c>
      <c r="H118" s="5">
        <v>82</v>
      </c>
    </row>
    <row r="119" spans="2:8" x14ac:dyDescent="0.25">
      <c r="B119" s="3">
        <v>44580</v>
      </c>
      <c r="C119" s="2" t="s">
        <v>21</v>
      </c>
      <c r="D119" s="2" t="s">
        <v>8</v>
      </c>
      <c r="E119" s="2" t="s">
        <v>13</v>
      </c>
      <c r="F119" s="2" t="s">
        <v>10</v>
      </c>
      <c r="G119" s="2">
        <v>95</v>
      </c>
      <c r="H119" s="5">
        <v>24</v>
      </c>
    </row>
    <row r="120" spans="2:8" x14ac:dyDescent="0.25">
      <c r="B120" s="3">
        <v>44580</v>
      </c>
      <c r="C120" s="2" t="s">
        <v>22</v>
      </c>
      <c r="D120" s="2" t="s">
        <v>12</v>
      </c>
      <c r="E120" s="2" t="s">
        <v>13</v>
      </c>
      <c r="F120" s="2" t="s">
        <v>16</v>
      </c>
      <c r="G120" s="2">
        <v>11</v>
      </c>
      <c r="H120" s="5">
        <v>78</v>
      </c>
    </row>
    <row r="121" spans="2:8" x14ac:dyDescent="0.25">
      <c r="B121" s="3">
        <v>44580</v>
      </c>
      <c r="C121" s="2" t="s">
        <v>24</v>
      </c>
      <c r="D121" s="2" t="s">
        <v>18</v>
      </c>
      <c r="E121" s="2" t="s">
        <v>13</v>
      </c>
      <c r="F121" s="2" t="s">
        <v>10</v>
      </c>
      <c r="G121" s="2">
        <v>31</v>
      </c>
      <c r="H121" s="5">
        <v>106</v>
      </c>
    </row>
    <row r="122" spans="2:8" x14ac:dyDescent="0.25">
      <c r="B122" s="3">
        <v>44581</v>
      </c>
      <c r="C122" s="2" t="s">
        <v>17</v>
      </c>
      <c r="D122" s="2" t="s">
        <v>18</v>
      </c>
      <c r="E122" s="2" t="s">
        <v>13</v>
      </c>
      <c r="F122" s="2" t="s">
        <v>14</v>
      </c>
      <c r="G122" s="2">
        <v>58</v>
      </c>
      <c r="H122" s="5">
        <v>92</v>
      </c>
    </row>
    <row r="123" spans="2:8" x14ac:dyDescent="0.25">
      <c r="B123" s="3">
        <v>44581</v>
      </c>
      <c r="C123" s="2" t="s">
        <v>11</v>
      </c>
      <c r="D123" s="2" t="s">
        <v>12</v>
      </c>
      <c r="E123" s="2" t="s">
        <v>9</v>
      </c>
      <c r="F123" s="2" t="s">
        <v>16</v>
      </c>
      <c r="G123" s="2">
        <v>71</v>
      </c>
      <c r="H123" s="5">
        <v>35</v>
      </c>
    </row>
    <row r="124" spans="2:8" x14ac:dyDescent="0.25">
      <c r="B124" s="3">
        <v>44581</v>
      </c>
      <c r="C124" s="2" t="s">
        <v>25</v>
      </c>
      <c r="D124" s="2" t="s">
        <v>12</v>
      </c>
      <c r="E124" s="2" t="s">
        <v>13</v>
      </c>
      <c r="F124" s="2" t="s">
        <v>10</v>
      </c>
      <c r="G124" s="2">
        <v>44</v>
      </c>
      <c r="H124" s="5">
        <v>41</v>
      </c>
    </row>
    <row r="125" spans="2:8" x14ac:dyDescent="0.25">
      <c r="B125" s="3">
        <v>44581</v>
      </c>
      <c r="C125" s="2" t="s">
        <v>24</v>
      </c>
      <c r="D125" s="2" t="s">
        <v>18</v>
      </c>
      <c r="E125" s="2" t="s">
        <v>13</v>
      </c>
      <c r="F125" s="2" t="s">
        <v>14</v>
      </c>
      <c r="G125" s="2">
        <v>72</v>
      </c>
      <c r="H125" s="5">
        <v>72</v>
      </c>
    </row>
    <row r="126" spans="2:8" x14ac:dyDescent="0.25">
      <c r="B126" s="3">
        <v>44582</v>
      </c>
      <c r="C126" s="2" t="s">
        <v>23</v>
      </c>
      <c r="D126" s="2" t="s">
        <v>18</v>
      </c>
      <c r="E126" s="2" t="s">
        <v>13</v>
      </c>
      <c r="F126" s="2" t="s">
        <v>10</v>
      </c>
      <c r="G126" s="2">
        <v>86</v>
      </c>
      <c r="H126" s="5">
        <v>106</v>
      </c>
    </row>
    <row r="127" spans="2:8" x14ac:dyDescent="0.25">
      <c r="B127" s="3">
        <v>44582</v>
      </c>
      <c r="C127" s="2" t="s">
        <v>25</v>
      </c>
      <c r="D127" s="2" t="s">
        <v>12</v>
      </c>
      <c r="E127" s="2" t="s">
        <v>13</v>
      </c>
      <c r="F127" s="2" t="s">
        <v>10</v>
      </c>
      <c r="G127" s="2">
        <v>56</v>
      </c>
      <c r="H127" s="5">
        <v>133</v>
      </c>
    </row>
    <row r="128" spans="2:8" x14ac:dyDescent="0.25">
      <c r="B128" s="3">
        <v>44582</v>
      </c>
      <c r="C128" s="2" t="s">
        <v>11</v>
      </c>
      <c r="D128" s="2" t="s">
        <v>12</v>
      </c>
      <c r="E128" s="2" t="s">
        <v>13</v>
      </c>
      <c r="F128" s="2" t="s">
        <v>16</v>
      </c>
      <c r="G128" s="2">
        <v>10</v>
      </c>
      <c r="H128" s="5">
        <v>39</v>
      </c>
    </row>
    <row r="129" spans="2:8" x14ac:dyDescent="0.25">
      <c r="B129" s="3">
        <v>44583</v>
      </c>
      <c r="C129" s="2" t="s">
        <v>15</v>
      </c>
      <c r="D129" s="2" t="s">
        <v>8</v>
      </c>
      <c r="E129" s="2" t="s">
        <v>13</v>
      </c>
      <c r="F129" s="2" t="s">
        <v>10</v>
      </c>
      <c r="G129" s="2">
        <v>48</v>
      </c>
      <c r="H129" s="5">
        <v>112</v>
      </c>
    </row>
    <row r="130" spans="2:8" x14ac:dyDescent="0.25">
      <c r="B130" s="3">
        <v>44583</v>
      </c>
      <c r="C130" s="2" t="s">
        <v>20</v>
      </c>
      <c r="D130" s="2" t="s">
        <v>8</v>
      </c>
      <c r="E130" s="2" t="s">
        <v>13</v>
      </c>
      <c r="F130" s="2" t="s">
        <v>16</v>
      </c>
      <c r="G130" s="2">
        <v>39</v>
      </c>
      <c r="H130" s="5">
        <v>80</v>
      </c>
    </row>
    <row r="131" spans="2:8" x14ac:dyDescent="0.25">
      <c r="B131" s="3">
        <v>44583</v>
      </c>
      <c r="C131" s="2" t="s">
        <v>28</v>
      </c>
      <c r="D131" s="2" t="s">
        <v>8</v>
      </c>
      <c r="E131" s="2" t="s">
        <v>9</v>
      </c>
      <c r="F131" s="2" t="s">
        <v>16</v>
      </c>
      <c r="G131" s="2">
        <v>52</v>
      </c>
      <c r="H131" s="5">
        <v>52</v>
      </c>
    </row>
    <row r="132" spans="2:8" x14ac:dyDescent="0.25">
      <c r="B132" s="3">
        <v>44583</v>
      </c>
      <c r="C132" s="2" t="s">
        <v>28</v>
      </c>
      <c r="D132" s="2" t="s">
        <v>8</v>
      </c>
      <c r="E132" s="2" t="s">
        <v>13</v>
      </c>
      <c r="F132" s="2" t="s">
        <v>10</v>
      </c>
      <c r="G132" s="2">
        <v>91</v>
      </c>
      <c r="H132" s="5">
        <v>132</v>
      </c>
    </row>
    <row r="133" spans="2:8" x14ac:dyDescent="0.25">
      <c r="B133" s="3">
        <v>44583</v>
      </c>
      <c r="C133" s="2" t="s">
        <v>21</v>
      </c>
      <c r="D133" s="2" t="s">
        <v>8</v>
      </c>
      <c r="E133" s="2" t="s">
        <v>13</v>
      </c>
      <c r="F133" s="2" t="s">
        <v>14</v>
      </c>
      <c r="G133" s="2">
        <v>88</v>
      </c>
      <c r="H133" s="5">
        <v>119</v>
      </c>
    </row>
    <row r="134" spans="2:8" x14ac:dyDescent="0.25">
      <c r="B134" s="3">
        <v>44583</v>
      </c>
      <c r="C134" s="2" t="s">
        <v>28</v>
      </c>
      <c r="D134" s="2" t="s">
        <v>8</v>
      </c>
      <c r="E134" s="2" t="s">
        <v>13</v>
      </c>
      <c r="F134" s="2" t="s">
        <v>10</v>
      </c>
      <c r="G134" s="2">
        <v>27</v>
      </c>
      <c r="H134" s="5">
        <v>40</v>
      </c>
    </row>
    <row r="135" spans="2:8" x14ac:dyDescent="0.25">
      <c r="B135" s="3">
        <v>44584</v>
      </c>
      <c r="C135" s="2" t="s">
        <v>22</v>
      </c>
      <c r="D135" s="2" t="s">
        <v>12</v>
      </c>
      <c r="E135" s="2" t="s">
        <v>9</v>
      </c>
      <c r="F135" s="2" t="s">
        <v>14</v>
      </c>
      <c r="G135" s="2">
        <v>51</v>
      </c>
      <c r="H135" s="5">
        <v>69</v>
      </c>
    </row>
    <row r="136" spans="2:8" x14ac:dyDescent="0.25">
      <c r="B136" s="3">
        <v>44584</v>
      </c>
      <c r="C136" s="2" t="s">
        <v>26</v>
      </c>
      <c r="D136" s="2" t="s">
        <v>12</v>
      </c>
      <c r="E136" s="2" t="s">
        <v>13</v>
      </c>
      <c r="F136" s="2" t="s">
        <v>14</v>
      </c>
      <c r="G136" s="2">
        <v>87</v>
      </c>
      <c r="H136" s="5">
        <v>51</v>
      </c>
    </row>
    <row r="137" spans="2:8" x14ac:dyDescent="0.25">
      <c r="B137" s="3">
        <v>44584</v>
      </c>
      <c r="C137" s="2" t="s">
        <v>19</v>
      </c>
      <c r="D137" s="2" t="s">
        <v>12</v>
      </c>
      <c r="E137" s="2" t="s">
        <v>9</v>
      </c>
      <c r="F137" s="2" t="s">
        <v>10</v>
      </c>
      <c r="G137" s="2">
        <v>52</v>
      </c>
      <c r="H137" s="5">
        <v>82</v>
      </c>
    </row>
    <row r="138" spans="2:8" x14ac:dyDescent="0.25">
      <c r="B138" s="3">
        <v>44584</v>
      </c>
      <c r="C138" s="2" t="s">
        <v>24</v>
      </c>
      <c r="D138" s="2" t="s">
        <v>18</v>
      </c>
      <c r="E138" s="2" t="s">
        <v>9</v>
      </c>
      <c r="F138" s="2" t="s">
        <v>14</v>
      </c>
      <c r="G138" s="2">
        <v>65</v>
      </c>
      <c r="H138" s="5">
        <v>62</v>
      </c>
    </row>
    <row r="139" spans="2:8" x14ac:dyDescent="0.25">
      <c r="B139" s="3">
        <v>44584</v>
      </c>
      <c r="C139" s="2" t="s">
        <v>23</v>
      </c>
      <c r="D139" s="2" t="s">
        <v>18</v>
      </c>
      <c r="E139" s="2" t="s">
        <v>9</v>
      </c>
      <c r="F139" s="2" t="s">
        <v>10</v>
      </c>
      <c r="G139" s="2">
        <v>69</v>
      </c>
      <c r="H139" s="5">
        <v>117</v>
      </c>
    </row>
    <row r="140" spans="2:8" x14ac:dyDescent="0.25">
      <c r="B140" s="3">
        <v>44584</v>
      </c>
      <c r="C140" s="2" t="s">
        <v>11</v>
      </c>
      <c r="D140" s="2" t="s">
        <v>12</v>
      </c>
      <c r="E140" s="2" t="s">
        <v>13</v>
      </c>
      <c r="F140" s="2" t="s">
        <v>14</v>
      </c>
      <c r="G140" s="2">
        <v>13</v>
      </c>
      <c r="H140" s="5">
        <v>131</v>
      </c>
    </row>
    <row r="141" spans="2:8" x14ac:dyDescent="0.25">
      <c r="B141" s="3">
        <v>44584</v>
      </c>
      <c r="C141" s="2" t="s">
        <v>29</v>
      </c>
      <c r="D141" s="2" t="s">
        <v>18</v>
      </c>
      <c r="E141" s="2" t="s">
        <v>9</v>
      </c>
      <c r="F141" s="2" t="s">
        <v>14</v>
      </c>
      <c r="G141" s="2">
        <v>97</v>
      </c>
      <c r="H141" s="5">
        <v>95</v>
      </c>
    </row>
    <row r="142" spans="2:8" x14ac:dyDescent="0.25">
      <c r="B142" s="3">
        <v>44585</v>
      </c>
      <c r="C142" s="2" t="s">
        <v>19</v>
      </c>
      <c r="D142" s="2" t="s">
        <v>12</v>
      </c>
      <c r="E142" s="2" t="s">
        <v>13</v>
      </c>
      <c r="F142" s="2" t="s">
        <v>16</v>
      </c>
      <c r="G142" s="2">
        <v>77</v>
      </c>
      <c r="H142" s="5">
        <v>113</v>
      </c>
    </row>
    <row r="143" spans="2:8" x14ac:dyDescent="0.25">
      <c r="B143" s="3">
        <v>44585</v>
      </c>
      <c r="C143" s="2" t="s">
        <v>26</v>
      </c>
      <c r="D143" s="2" t="s">
        <v>12</v>
      </c>
      <c r="E143" s="2" t="s">
        <v>9</v>
      </c>
      <c r="F143" s="2" t="s">
        <v>14</v>
      </c>
      <c r="G143" s="2">
        <v>64</v>
      </c>
      <c r="H143" s="5">
        <v>38</v>
      </c>
    </row>
    <row r="144" spans="2:8" x14ac:dyDescent="0.25">
      <c r="B144" s="3">
        <v>44585</v>
      </c>
      <c r="C144" s="2" t="s">
        <v>19</v>
      </c>
      <c r="D144" s="2" t="s">
        <v>12</v>
      </c>
      <c r="E144" s="2" t="s">
        <v>13</v>
      </c>
      <c r="F144" s="2" t="s">
        <v>16</v>
      </c>
      <c r="G144" s="2">
        <v>90</v>
      </c>
      <c r="H144" s="5">
        <v>112</v>
      </c>
    </row>
    <row r="145" spans="2:8" x14ac:dyDescent="0.25">
      <c r="B145" s="3">
        <v>44585</v>
      </c>
      <c r="C145" s="2" t="s">
        <v>21</v>
      </c>
      <c r="D145" s="2" t="s">
        <v>8</v>
      </c>
      <c r="E145" s="2" t="s">
        <v>9</v>
      </c>
      <c r="F145" s="2" t="s">
        <v>10</v>
      </c>
      <c r="G145" s="2">
        <v>12</v>
      </c>
      <c r="H145" s="5">
        <v>124</v>
      </c>
    </row>
    <row r="146" spans="2:8" x14ac:dyDescent="0.25">
      <c r="B146" s="3">
        <v>44585</v>
      </c>
      <c r="C146" s="2" t="s">
        <v>21</v>
      </c>
      <c r="D146" s="2" t="s">
        <v>8</v>
      </c>
      <c r="E146" s="2" t="s">
        <v>13</v>
      </c>
      <c r="F146" s="2" t="s">
        <v>14</v>
      </c>
      <c r="G146" s="2">
        <v>75</v>
      </c>
      <c r="H146" s="5">
        <v>58</v>
      </c>
    </row>
    <row r="147" spans="2:8" x14ac:dyDescent="0.25">
      <c r="B147" s="3">
        <v>44585</v>
      </c>
      <c r="C147" s="2" t="s">
        <v>22</v>
      </c>
      <c r="D147" s="2" t="s">
        <v>12</v>
      </c>
      <c r="E147" s="2" t="s">
        <v>13</v>
      </c>
      <c r="F147" s="2" t="s">
        <v>10</v>
      </c>
      <c r="G147" s="2">
        <v>30</v>
      </c>
      <c r="H147" s="5">
        <v>122</v>
      </c>
    </row>
    <row r="148" spans="2:8" x14ac:dyDescent="0.25">
      <c r="B148" s="3">
        <v>44586</v>
      </c>
      <c r="C148" s="2" t="s">
        <v>15</v>
      </c>
      <c r="D148" s="2" t="s">
        <v>8</v>
      </c>
      <c r="E148" s="2" t="s">
        <v>9</v>
      </c>
      <c r="F148" s="2" t="s">
        <v>16</v>
      </c>
      <c r="G148" s="2">
        <v>36</v>
      </c>
      <c r="H148" s="5">
        <v>124</v>
      </c>
    </row>
    <row r="149" spans="2:8" x14ac:dyDescent="0.25">
      <c r="B149" s="3">
        <v>44586</v>
      </c>
      <c r="C149" s="2" t="s">
        <v>17</v>
      </c>
      <c r="D149" s="2" t="s">
        <v>18</v>
      </c>
      <c r="E149" s="2" t="s">
        <v>13</v>
      </c>
      <c r="F149" s="2" t="s">
        <v>10</v>
      </c>
      <c r="G149" s="2">
        <v>17</v>
      </c>
      <c r="H149" s="5">
        <v>111</v>
      </c>
    </row>
    <row r="150" spans="2:8" x14ac:dyDescent="0.25">
      <c r="B150" s="3">
        <v>44586</v>
      </c>
      <c r="C150" s="2" t="s">
        <v>23</v>
      </c>
      <c r="D150" s="2" t="s">
        <v>18</v>
      </c>
      <c r="E150" s="2" t="s">
        <v>13</v>
      </c>
      <c r="F150" s="2" t="s">
        <v>14</v>
      </c>
      <c r="G150" s="2">
        <v>83</v>
      </c>
      <c r="H150" s="5">
        <v>48</v>
      </c>
    </row>
    <row r="151" spans="2:8" x14ac:dyDescent="0.25">
      <c r="B151" s="3">
        <v>44586</v>
      </c>
      <c r="C151" s="2" t="s">
        <v>22</v>
      </c>
      <c r="D151" s="2" t="s">
        <v>12</v>
      </c>
      <c r="E151" s="2" t="s">
        <v>9</v>
      </c>
      <c r="F151" s="2" t="s">
        <v>16</v>
      </c>
      <c r="G151" s="2">
        <v>46</v>
      </c>
      <c r="H151" s="5">
        <v>126</v>
      </c>
    </row>
    <row r="152" spans="2:8" x14ac:dyDescent="0.25">
      <c r="B152" s="3">
        <v>44586</v>
      </c>
      <c r="C152" s="2" t="s">
        <v>26</v>
      </c>
      <c r="D152" s="2" t="s">
        <v>12</v>
      </c>
      <c r="E152" s="2" t="s">
        <v>13</v>
      </c>
      <c r="F152" s="2" t="s">
        <v>10</v>
      </c>
      <c r="G152" s="2">
        <v>29</v>
      </c>
      <c r="H152" s="5">
        <v>48</v>
      </c>
    </row>
    <row r="153" spans="2:8" x14ac:dyDescent="0.25">
      <c r="B153" s="3">
        <v>44586</v>
      </c>
      <c r="C153" s="2" t="s">
        <v>17</v>
      </c>
      <c r="D153" s="2" t="s">
        <v>18</v>
      </c>
      <c r="E153" s="2" t="s">
        <v>9</v>
      </c>
      <c r="F153" s="2" t="s">
        <v>14</v>
      </c>
      <c r="G153" s="2">
        <v>90</v>
      </c>
      <c r="H153" s="5">
        <v>100</v>
      </c>
    </row>
    <row r="154" spans="2:8" x14ac:dyDescent="0.25">
      <c r="B154" s="3">
        <v>44587</v>
      </c>
      <c r="C154" s="2" t="s">
        <v>26</v>
      </c>
      <c r="D154" s="2" t="s">
        <v>12</v>
      </c>
      <c r="E154" s="2" t="s">
        <v>9</v>
      </c>
      <c r="F154" s="2" t="s">
        <v>14</v>
      </c>
      <c r="G154" s="2">
        <v>32</v>
      </c>
      <c r="H154" s="5">
        <v>39</v>
      </c>
    </row>
    <row r="155" spans="2:8" x14ac:dyDescent="0.25">
      <c r="B155" s="3">
        <v>44587</v>
      </c>
      <c r="C155" s="2" t="s">
        <v>7</v>
      </c>
      <c r="D155" s="2" t="s">
        <v>8</v>
      </c>
      <c r="E155" s="2" t="s">
        <v>13</v>
      </c>
      <c r="F155" s="2" t="s">
        <v>14</v>
      </c>
      <c r="G155" s="2">
        <v>43</v>
      </c>
      <c r="H155" s="5">
        <v>122</v>
      </c>
    </row>
    <row r="156" spans="2:8" x14ac:dyDescent="0.25">
      <c r="B156" s="3">
        <v>44587</v>
      </c>
      <c r="C156" s="2" t="s">
        <v>17</v>
      </c>
      <c r="D156" s="2" t="s">
        <v>18</v>
      </c>
      <c r="E156" s="2" t="s">
        <v>13</v>
      </c>
      <c r="F156" s="2" t="s">
        <v>14</v>
      </c>
      <c r="G156" s="2">
        <v>37</v>
      </c>
      <c r="H156" s="5">
        <v>77</v>
      </c>
    </row>
    <row r="157" spans="2:8" x14ac:dyDescent="0.25">
      <c r="B157" s="3">
        <v>44587</v>
      </c>
      <c r="C157" s="2" t="s">
        <v>17</v>
      </c>
      <c r="D157" s="2" t="s">
        <v>18</v>
      </c>
      <c r="E157" s="2" t="s">
        <v>9</v>
      </c>
      <c r="F157" s="2" t="s">
        <v>16</v>
      </c>
      <c r="G157" s="2">
        <v>93</v>
      </c>
      <c r="H157" s="5">
        <v>129</v>
      </c>
    </row>
    <row r="158" spans="2:8" x14ac:dyDescent="0.25">
      <c r="B158" s="3">
        <v>44587</v>
      </c>
      <c r="C158" s="2" t="s">
        <v>11</v>
      </c>
      <c r="D158" s="2" t="s">
        <v>12</v>
      </c>
      <c r="E158" s="2" t="s">
        <v>13</v>
      </c>
      <c r="F158" s="2" t="s">
        <v>10</v>
      </c>
      <c r="G158" s="2">
        <v>11</v>
      </c>
      <c r="H158" s="5">
        <v>131</v>
      </c>
    </row>
    <row r="159" spans="2:8" x14ac:dyDescent="0.25">
      <c r="B159" s="3">
        <v>44587</v>
      </c>
      <c r="C159" s="2" t="s">
        <v>25</v>
      </c>
      <c r="D159" s="2" t="s">
        <v>12</v>
      </c>
      <c r="E159" s="2" t="s">
        <v>13</v>
      </c>
      <c r="F159" s="2" t="s">
        <v>14</v>
      </c>
      <c r="G159" s="2">
        <v>89</v>
      </c>
      <c r="H159" s="5">
        <v>116</v>
      </c>
    </row>
    <row r="160" spans="2:8" x14ac:dyDescent="0.25">
      <c r="B160" s="3">
        <v>44587</v>
      </c>
      <c r="C160" s="2" t="s">
        <v>29</v>
      </c>
      <c r="D160" s="2" t="s">
        <v>18</v>
      </c>
      <c r="E160" s="2" t="s">
        <v>13</v>
      </c>
      <c r="F160" s="2" t="s">
        <v>14</v>
      </c>
      <c r="G160" s="2">
        <v>79</v>
      </c>
      <c r="H160" s="5">
        <v>55</v>
      </c>
    </row>
    <row r="161" spans="2:8" x14ac:dyDescent="0.25">
      <c r="B161" s="3">
        <v>44588</v>
      </c>
      <c r="C161" s="2" t="s">
        <v>25</v>
      </c>
      <c r="D161" s="2" t="s">
        <v>12</v>
      </c>
      <c r="E161" s="2" t="s">
        <v>13</v>
      </c>
      <c r="F161" s="2" t="s">
        <v>14</v>
      </c>
      <c r="G161" s="2">
        <v>15</v>
      </c>
      <c r="H161" s="5">
        <v>39</v>
      </c>
    </row>
    <row r="162" spans="2:8" x14ac:dyDescent="0.25">
      <c r="B162" s="3">
        <v>44588</v>
      </c>
      <c r="C162" s="2" t="s">
        <v>7</v>
      </c>
      <c r="D162" s="2" t="s">
        <v>8</v>
      </c>
      <c r="E162" s="2" t="s">
        <v>13</v>
      </c>
      <c r="F162" s="2" t="s">
        <v>14</v>
      </c>
      <c r="G162" s="2">
        <v>17</v>
      </c>
      <c r="H162" s="5">
        <v>22</v>
      </c>
    </row>
    <row r="163" spans="2:8" x14ac:dyDescent="0.25">
      <c r="B163" s="3">
        <v>44588</v>
      </c>
      <c r="C163" s="2" t="s">
        <v>24</v>
      </c>
      <c r="D163" s="2" t="s">
        <v>18</v>
      </c>
      <c r="E163" s="2" t="s">
        <v>13</v>
      </c>
      <c r="F163" s="2" t="s">
        <v>14</v>
      </c>
      <c r="G163" s="2">
        <v>18</v>
      </c>
      <c r="H163" s="5">
        <v>130</v>
      </c>
    </row>
    <row r="164" spans="2:8" x14ac:dyDescent="0.25">
      <c r="B164" s="3">
        <v>44588</v>
      </c>
      <c r="C164" s="2" t="s">
        <v>29</v>
      </c>
      <c r="D164" s="2" t="s">
        <v>18</v>
      </c>
      <c r="E164" s="2" t="s">
        <v>9</v>
      </c>
      <c r="F164" s="2" t="s">
        <v>14</v>
      </c>
      <c r="G164" s="2">
        <v>96</v>
      </c>
      <c r="H164" s="5">
        <v>114</v>
      </c>
    </row>
    <row r="165" spans="2:8" x14ac:dyDescent="0.25">
      <c r="B165" s="3">
        <v>44588</v>
      </c>
      <c r="C165" s="2" t="s">
        <v>15</v>
      </c>
      <c r="D165" s="2" t="s">
        <v>8</v>
      </c>
      <c r="E165" s="2" t="s">
        <v>13</v>
      </c>
      <c r="F165" s="2" t="s">
        <v>16</v>
      </c>
      <c r="G165" s="2">
        <v>70</v>
      </c>
      <c r="H165" s="5">
        <v>64</v>
      </c>
    </row>
    <row r="166" spans="2:8" x14ac:dyDescent="0.25">
      <c r="B166" s="3">
        <v>44588</v>
      </c>
      <c r="C166" s="2" t="s">
        <v>7</v>
      </c>
      <c r="D166" s="2" t="s">
        <v>8</v>
      </c>
      <c r="E166" s="2" t="s">
        <v>9</v>
      </c>
      <c r="F166" s="2" t="s">
        <v>10</v>
      </c>
      <c r="G166" s="2">
        <v>42</v>
      </c>
      <c r="H166" s="5">
        <v>118</v>
      </c>
    </row>
    <row r="167" spans="2:8" x14ac:dyDescent="0.25">
      <c r="B167" s="3">
        <v>44588</v>
      </c>
      <c r="C167" s="2" t="s">
        <v>17</v>
      </c>
      <c r="D167" s="2" t="s">
        <v>18</v>
      </c>
      <c r="E167" s="2" t="s">
        <v>9</v>
      </c>
      <c r="F167" s="2" t="s">
        <v>10</v>
      </c>
      <c r="G167" s="2">
        <v>19</v>
      </c>
      <c r="H167" s="5">
        <v>102</v>
      </c>
    </row>
    <row r="168" spans="2:8" x14ac:dyDescent="0.25">
      <c r="B168" s="3">
        <v>44589</v>
      </c>
      <c r="C168" s="2" t="s">
        <v>15</v>
      </c>
      <c r="D168" s="2" t="s">
        <v>8</v>
      </c>
      <c r="E168" s="2" t="s">
        <v>9</v>
      </c>
      <c r="F168" s="2" t="s">
        <v>10</v>
      </c>
      <c r="G168" s="2">
        <v>36</v>
      </c>
      <c r="H168" s="5">
        <v>23</v>
      </c>
    </row>
    <row r="169" spans="2:8" x14ac:dyDescent="0.25">
      <c r="B169" s="3">
        <v>44589</v>
      </c>
      <c r="C169" s="2" t="s">
        <v>19</v>
      </c>
      <c r="D169" s="2" t="s">
        <v>12</v>
      </c>
      <c r="E169" s="2" t="s">
        <v>13</v>
      </c>
      <c r="F169" s="2" t="s">
        <v>14</v>
      </c>
      <c r="G169" s="2">
        <v>83</v>
      </c>
      <c r="H169" s="5">
        <v>92</v>
      </c>
    </row>
    <row r="170" spans="2:8" x14ac:dyDescent="0.25">
      <c r="B170" s="3">
        <v>44589</v>
      </c>
      <c r="C170" s="2" t="s">
        <v>25</v>
      </c>
      <c r="D170" s="2" t="s">
        <v>12</v>
      </c>
      <c r="E170" s="2" t="s">
        <v>9</v>
      </c>
      <c r="F170" s="2" t="s">
        <v>14</v>
      </c>
      <c r="G170" s="2">
        <v>100</v>
      </c>
      <c r="H170" s="5">
        <v>149</v>
      </c>
    </row>
    <row r="171" spans="2:8" x14ac:dyDescent="0.25">
      <c r="B171" s="3">
        <v>44589</v>
      </c>
      <c r="C171" s="2" t="s">
        <v>7</v>
      </c>
      <c r="D171" s="2" t="s">
        <v>8</v>
      </c>
      <c r="E171" s="2" t="s">
        <v>9</v>
      </c>
      <c r="F171" s="2" t="s">
        <v>14</v>
      </c>
      <c r="G171" s="2">
        <v>93</v>
      </c>
      <c r="H171" s="5">
        <v>70</v>
      </c>
    </row>
    <row r="172" spans="2:8" x14ac:dyDescent="0.25">
      <c r="B172" s="3">
        <v>44589</v>
      </c>
      <c r="C172" s="2" t="s">
        <v>7</v>
      </c>
      <c r="D172" s="2" t="s">
        <v>8</v>
      </c>
      <c r="E172" s="2" t="s">
        <v>9</v>
      </c>
      <c r="F172" s="2" t="s">
        <v>16</v>
      </c>
      <c r="G172" s="2">
        <v>10</v>
      </c>
      <c r="H172" s="5">
        <v>71</v>
      </c>
    </row>
    <row r="173" spans="2:8" x14ac:dyDescent="0.25">
      <c r="B173" s="3">
        <v>44589</v>
      </c>
      <c r="C173" s="2" t="s">
        <v>11</v>
      </c>
      <c r="D173" s="2" t="s">
        <v>12</v>
      </c>
      <c r="E173" s="2" t="s">
        <v>9</v>
      </c>
      <c r="F173" s="2" t="s">
        <v>14</v>
      </c>
      <c r="G173" s="2">
        <v>11</v>
      </c>
      <c r="H173" s="5">
        <v>21</v>
      </c>
    </row>
    <row r="174" spans="2:8" x14ac:dyDescent="0.25">
      <c r="B174" s="3">
        <v>44589</v>
      </c>
      <c r="C174" s="2" t="s">
        <v>21</v>
      </c>
      <c r="D174" s="2" t="s">
        <v>8</v>
      </c>
      <c r="E174" s="2" t="s">
        <v>9</v>
      </c>
      <c r="F174" s="2" t="s">
        <v>14</v>
      </c>
      <c r="G174" s="2">
        <v>92</v>
      </c>
      <c r="H174" s="5">
        <v>97</v>
      </c>
    </row>
    <row r="175" spans="2:8" x14ac:dyDescent="0.25">
      <c r="B175" s="3">
        <v>44589</v>
      </c>
      <c r="C175" s="2" t="s">
        <v>26</v>
      </c>
      <c r="D175" s="2" t="s">
        <v>12</v>
      </c>
      <c r="E175" s="2" t="s">
        <v>9</v>
      </c>
      <c r="F175" s="2" t="s">
        <v>10</v>
      </c>
      <c r="G175" s="2">
        <v>27</v>
      </c>
      <c r="H175" s="5">
        <v>78</v>
      </c>
    </row>
    <row r="176" spans="2:8" x14ac:dyDescent="0.25">
      <c r="B176" s="3">
        <v>44589</v>
      </c>
      <c r="C176" s="2" t="s">
        <v>20</v>
      </c>
      <c r="D176" s="2" t="s">
        <v>8</v>
      </c>
      <c r="E176" s="2" t="s">
        <v>9</v>
      </c>
      <c r="F176" s="2" t="s">
        <v>16</v>
      </c>
      <c r="G176" s="2">
        <v>97</v>
      </c>
      <c r="H176" s="5">
        <v>120</v>
      </c>
    </row>
    <row r="177" spans="2:8" x14ac:dyDescent="0.25">
      <c r="B177" s="3">
        <v>44590</v>
      </c>
      <c r="C177" s="2" t="s">
        <v>15</v>
      </c>
      <c r="D177" s="2" t="s">
        <v>8</v>
      </c>
      <c r="E177" s="2" t="s">
        <v>9</v>
      </c>
      <c r="F177" s="2" t="s">
        <v>14</v>
      </c>
      <c r="G177" s="2">
        <v>40</v>
      </c>
      <c r="H177" s="5">
        <v>85</v>
      </c>
    </row>
    <row r="178" spans="2:8" x14ac:dyDescent="0.25">
      <c r="B178" s="3">
        <v>44590</v>
      </c>
      <c r="C178" s="2" t="s">
        <v>7</v>
      </c>
      <c r="D178" s="2" t="s">
        <v>8</v>
      </c>
      <c r="E178" s="2" t="s">
        <v>9</v>
      </c>
      <c r="F178" s="2" t="s">
        <v>14</v>
      </c>
      <c r="G178" s="2">
        <v>24</v>
      </c>
      <c r="H178" s="5">
        <v>29</v>
      </c>
    </row>
    <row r="179" spans="2:8" x14ac:dyDescent="0.25">
      <c r="B179" s="3">
        <v>44590</v>
      </c>
      <c r="C179" s="2" t="s">
        <v>28</v>
      </c>
      <c r="D179" s="2" t="s">
        <v>8</v>
      </c>
      <c r="E179" s="2" t="s">
        <v>9</v>
      </c>
      <c r="F179" s="2" t="s">
        <v>16</v>
      </c>
      <c r="G179" s="2">
        <v>83</v>
      </c>
      <c r="H179" s="5">
        <v>33</v>
      </c>
    </row>
    <row r="180" spans="2:8" x14ac:dyDescent="0.25">
      <c r="B180" s="3">
        <v>44590</v>
      </c>
      <c r="C180" s="2" t="s">
        <v>23</v>
      </c>
      <c r="D180" s="2" t="s">
        <v>18</v>
      </c>
      <c r="E180" s="2" t="s">
        <v>9</v>
      </c>
      <c r="F180" s="2" t="s">
        <v>10</v>
      </c>
      <c r="G180" s="2">
        <v>49</v>
      </c>
      <c r="H180" s="5">
        <v>28</v>
      </c>
    </row>
    <row r="181" spans="2:8" x14ac:dyDescent="0.25">
      <c r="B181" s="3">
        <v>44590</v>
      </c>
      <c r="C181" s="2" t="s">
        <v>11</v>
      </c>
      <c r="D181" s="2" t="s">
        <v>12</v>
      </c>
      <c r="E181" s="2" t="s">
        <v>13</v>
      </c>
      <c r="F181" s="2" t="s">
        <v>16</v>
      </c>
      <c r="G181" s="2">
        <v>11</v>
      </c>
      <c r="H181" s="5">
        <v>102</v>
      </c>
    </row>
    <row r="182" spans="2:8" x14ac:dyDescent="0.25">
      <c r="B182" s="3">
        <v>44591</v>
      </c>
      <c r="C182" s="2" t="s">
        <v>21</v>
      </c>
      <c r="D182" s="2" t="s">
        <v>8</v>
      </c>
      <c r="E182" s="2" t="s">
        <v>9</v>
      </c>
      <c r="F182" s="2" t="s">
        <v>16</v>
      </c>
      <c r="G182" s="2">
        <v>95</v>
      </c>
      <c r="H182" s="5">
        <v>118</v>
      </c>
    </row>
    <row r="183" spans="2:8" x14ac:dyDescent="0.25">
      <c r="B183" s="3">
        <v>44591</v>
      </c>
      <c r="C183" s="2" t="s">
        <v>29</v>
      </c>
      <c r="D183" s="2" t="s">
        <v>18</v>
      </c>
      <c r="E183" s="2" t="s">
        <v>9</v>
      </c>
      <c r="F183" s="2" t="s">
        <v>10</v>
      </c>
      <c r="G183" s="2">
        <v>20</v>
      </c>
      <c r="H183" s="5">
        <v>148</v>
      </c>
    </row>
    <row r="184" spans="2:8" x14ac:dyDescent="0.25">
      <c r="B184" s="3">
        <v>44591</v>
      </c>
      <c r="C184" s="2" t="s">
        <v>17</v>
      </c>
      <c r="D184" s="2" t="s">
        <v>18</v>
      </c>
      <c r="E184" s="2" t="s">
        <v>9</v>
      </c>
      <c r="F184" s="2" t="s">
        <v>14</v>
      </c>
      <c r="G184" s="2">
        <v>39</v>
      </c>
      <c r="H184" s="5">
        <v>100</v>
      </c>
    </row>
    <row r="185" spans="2:8" x14ac:dyDescent="0.25">
      <c r="B185" s="3">
        <v>44591</v>
      </c>
      <c r="C185" s="2" t="s">
        <v>17</v>
      </c>
      <c r="D185" s="2" t="s">
        <v>18</v>
      </c>
      <c r="E185" s="2" t="s">
        <v>9</v>
      </c>
      <c r="F185" s="2" t="s">
        <v>14</v>
      </c>
      <c r="G185" s="2">
        <v>48</v>
      </c>
      <c r="H185" s="5">
        <v>122</v>
      </c>
    </row>
    <row r="186" spans="2:8" x14ac:dyDescent="0.25">
      <c r="B186" s="3">
        <v>44591</v>
      </c>
      <c r="C186" s="2" t="s">
        <v>7</v>
      </c>
      <c r="D186" s="2" t="s">
        <v>8</v>
      </c>
      <c r="E186" s="2" t="s">
        <v>13</v>
      </c>
      <c r="F186" s="2" t="s">
        <v>16</v>
      </c>
      <c r="G186" s="2">
        <v>76</v>
      </c>
      <c r="H186" s="5">
        <v>51</v>
      </c>
    </row>
    <row r="187" spans="2:8" x14ac:dyDescent="0.25">
      <c r="B187" s="3">
        <v>44592</v>
      </c>
      <c r="C187" s="2" t="s">
        <v>7</v>
      </c>
      <c r="D187" s="2" t="s">
        <v>8</v>
      </c>
      <c r="E187" s="2" t="s">
        <v>9</v>
      </c>
      <c r="F187" s="2" t="s">
        <v>10</v>
      </c>
      <c r="G187" s="2">
        <v>29</v>
      </c>
      <c r="H187" s="5">
        <v>104</v>
      </c>
    </row>
    <row r="188" spans="2:8" x14ac:dyDescent="0.25">
      <c r="B188" s="3">
        <v>44592</v>
      </c>
      <c r="C188" s="2" t="s">
        <v>20</v>
      </c>
      <c r="D188" s="2" t="s">
        <v>8</v>
      </c>
      <c r="E188" s="2" t="s">
        <v>9</v>
      </c>
      <c r="F188" s="2" t="s">
        <v>14</v>
      </c>
      <c r="G188" s="2">
        <v>40</v>
      </c>
      <c r="H188" s="5">
        <v>132</v>
      </c>
    </row>
    <row r="189" spans="2:8" x14ac:dyDescent="0.25">
      <c r="B189" s="3">
        <v>44592</v>
      </c>
      <c r="C189" s="2" t="s">
        <v>25</v>
      </c>
      <c r="D189" s="2" t="s">
        <v>12</v>
      </c>
      <c r="E189" s="2" t="s">
        <v>13</v>
      </c>
      <c r="F189" s="2" t="s">
        <v>10</v>
      </c>
      <c r="G189" s="2">
        <v>93</v>
      </c>
      <c r="H189" s="5">
        <v>48</v>
      </c>
    </row>
    <row r="190" spans="2:8" x14ac:dyDescent="0.25">
      <c r="B190" s="3">
        <v>44592</v>
      </c>
      <c r="C190" s="2" t="s">
        <v>17</v>
      </c>
      <c r="D190" s="2" t="s">
        <v>18</v>
      </c>
      <c r="E190" s="2" t="s">
        <v>13</v>
      </c>
      <c r="F190" s="2" t="s">
        <v>10</v>
      </c>
      <c r="G190" s="2">
        <v>41</v>
      </c>
      <c r="H190" s="5">
        <v>64</v>
      </c>
    </row>
    <row r="191" spans="2:8" x14ac:dyDescent="0.25">
      <c r="B191" s="3">
        <v>44592</v>
      </c>
      <c r="C191" s="2" t="s">
        <v>19</v>
      </c>
      <c r="D191" s="2" t="s">
        <v>12</v>
      </c>
      <c r="E191" s="2" t="s">
        <v>13</v>
      </c>
      <c r="F191" s="2" t="s">
        <v>14</v>
      </c>
      <c r="G191" s="2">
        <v>15</v>
      </c>
      <c r="H191" s="5">
        <v>91</v>
      </c>
    </row>
    <row r="192" spans="2:8" x14ac:dyDescent="0.25">
      <c r="B192" s="4">
        <v>44592</v>
      </c>
      <c r="C192" s="1" t="s">
        <v>26</v>
      </c>
      <c r="D192" s="1" t="s">
        <v>12</v>
      </c>
      <c r="E192" s="1" t="s">
        <v>9</v>
      </c>
      <c r="F192" s="1" t="s">
        <v>14</v>
      </c>
      <c r="G192" s="1">
        <v>33</v>
      </c>
      <c r="H192" s="6">
        <v>116</v>
      </c>
    </row>
    <row r="193" spans="2:8" x14ac:dyDescent="0.25">
      <c r="B193" s="3">
        <v>44593</v>
      </c>
      <c r="C193" s="2" t="s">
        <v>19</v>
      </c>
      <c r="D193" s="2" t="s">
        <v>12</v>
      </c>
      <c r="E193" s="2" t="s">
        <v>13</v>
      </c>
      <c r="F193" s="2" t="s">
        <v>10</v>
      </c>
      <c r="G193" s="2">
        <v>76</v>
      </c>
      <c r="H193" s="9">
        <v>68</v>
      </c>
    </row>
    <row r="194" spans="2:8" x14ac:dyDescent="0.25">
      <c r="B194" s="3">
        <v>44593</v>
      </c>
      <c r="C194" s="2" t="s">
        <v>21</v>
      </c>
      <c r="D194" s="2" t="s">
        <v>8</v>
      </c>
      <c r="E194" s="2" t="s">
        <v>13</v>
      </c>
      <c r="F194" s="2" t="s">
        <v>16</v>
      </c>
      <c r="G194" s="2">
        <v>32</v>
      </c>
      <c r="H194" s="9">
        <v>90</v>
      </c>
    </row>
    <row r="195" spans="2:8" x14ac:dyDescent="0.25">
      <c r="B195" s="3">
        <v>44593</v>
      </c>
      <c r="C195" s="2" t="s">
        <v>19</v>
      </c>
      <c r="D195" s="2" t="s">
        <v>12</v>
      </c>
      <c r="E195" s="2" t="s">
        <v>9</v>
      </c>
      <c r="F195" s="2" t="s">
        <v>14</v>
      </c>
      <c r="G195" s="2">
        <v>13</v>
      </c>
      <c r="H195" s="9">
        <v>101</v>
      </c>
    </row>
    <row r="196" spans="2:8" x14ac:dyDescent="0.25">
      <c r="B196" s="3">
        <v>44593</v>
      </c>
      <c r="C196" s="2" t="s">
        <v>15</v>
      </c>
      <c r="D196" s="2" t="s">
        <v>8</v>
      </c>
      <c r="E196" s="2" t="s">
        <v>9</v>
      </c>
      <c r="F196" s="2" t="s">
        <v>14</v>
      </c>
      <c r="G196" s="2">
        <v>53</v>
      </c>
      <c r="H196" s="9">
        <v>128</v>
      </c>
    </row>
    <row r="197" spans="2:8" x14ac:dyDescent="0.25">
      <c r="B197" s="3">
        <v>44593</v>
      </c>
      <c r="C197" s="2" t="s">
        <v>23</v>
      </c>
      <c r="D197" s="2" t="s">
        <v>18</v>
      </c>
      <c r="E197" s="2" t="s">
        <v>13</v>
      </c>
      <c r="F197" s="2" t="s">
        <v>10</v>
      </c>
      <c r="G197" s="2">
        <v>60</v>
      </c>
      <c r="H197" s="9">
        <v>79</v>
      </c>
    </row>
    <row r="198" spans="2:8" x14ac:dyDescent="0.25">
      <c r="B198" s="3">
        <v>44593</v>
      </c>
      <c r="C198" s="2" t="s">
        <v>7</v>
      </c>
      <c r="D198" s="2" t="s">
        <v>8</v>
      </c>
      <c r="E198" s="2" t="s">
        <v>13</v>
      </c>
      <c r="F198" s="2" t="s">
        <v>10</v>
      </c>
      <c r="G198" s="2">
        <v>49</v>
      </c>
      <c r="H198" s="9">
        <v>68</v>
      </c>
    </row>
    <row r="199" spans="2:8" x14ac:dyDescent="0.25">
      <c r="B199" s="3">
        <v>44593</v>
      </c>
      <c r="C199" s="2" t="s">
        <v>15</v>
      </c>
      <c r="D199" s="2" t="s">
        <v>8</v>
      </c>
      <c r="E199" s="2" t="s">
        <v>9</v>
      </c>
      <c r="F199" s="2" t="s">
        <v>10</v>
      </c>
      <c r="G199" s="2">
        <v>34</v>
      </c>
      <c r="H199" s="9">
        <v>140</v>
      </c>
    </row>
    <row r="200" spans="2:8" x14ac:dyDescent="0.25">
      <c r="B200" s="3">
        <v>44593</v>
      </c>
      <c r="C200" s="2" t="s">
        <v>15</v>
      </c>
      <c r="D200" s="2" t="s">
        <v>8</v>
      </c>
      <c r="E200" s="2" t="s">
        <v>13</v>
      </c>
      <c r="F200" s="2" t="s">
        <v>10</v>
      </c>
      <c r="G200" s="2">
        <v>95</v>
      </c>
      <c r="H200" s="9">
        <v>87</v>
      </c>
    </row>
    <row r="201" spans="2:8" x14ac:dyDescent="0.25">
      <c r="B201" s="3">
        <v>44594</v>
      </c>
      <c r="C201" s="2" t="s">
        <v>17</v>
      </c>
      <c r="D201" s="2" t="s">
        <v>18</v>
      </c>
      <c r="E201" s="2" t="s">
        <v>9</v>
      </c>
      <c r="F201" s="2" t="s">
        <v>16</v>
      </c>
      <c r="G201" s="2">
        <v>32</v>
      </c>
      <c r="H201" s="9">
        <v>81</v>
      </c>
    </row>
    <row r="202" spans="2:8" x14ac:dyDescent="0.25">
      <c r="B202" s="3">
        <v>44594</v>
      </c>
      <c r="C202" s="2" t="s">
        <v>26</v>
      </c>
      <c r="D202" s="2" t="s">
        <v>12</v>
      </c>
      <c r="E202" s="2" t="s">
        <v>13</v>
      </c>
      <c r="F202" s="2" t="s">
        <v>16</v>
      </c>
      <c r="G202" s="2">
        <v>15</v>
      </c>
      <c r="H202" s="9">
        <v>26</v>
      </c>
    </row>
    <row r="203" spans="2:8" x14ac:dyDescent="0.25">
      <c r="B203" s="3">
        <v>44594</v>
      </c>
      <c r="C203" s="2" t="s">
        <v>7</v>
      </c>
      <c r="D203" s="2" t="s">
        <v>8</v>
      </c>
      <c r="E203" s="2" t="s">
        <v>9</v>
      </c>
      <c r="F203" s="2" t="s">
        <v>16</v>
      </c>
      <c r="G203" s="2">
        <v>64</v>
      </c>
      <c r="H203" s="9">
        <v>46</v>
      </c>
    </row>
    <row r="204" spans="2:8" x14ac:dyDescent="0.25">
      <c r="B204" s="3">
        <v>44594</v>
      </c>
      <c r="C204" s="2" t="s">
        <v>26</v>
      </c>
      <c r="D204" s="2" t="s">
        <v>12</v>
      </c>
      <c r="E204" s="2" t="s">
        <v>13</v>
      </c>
      <c r="F204" s="2" t="s">
        <v>16</v>
      </c>
      <c r="G204" s="2">
        <v>33</v>
      </c>
      <c r="H204" s="9">
        <v>133</v>
      </c>
    </row>
    <row r="205" spans="2:8" x14ac:dyDescent="0.25">
      <c r="B205" s="3">
        <v>44594</v>
      </c>
      <c r="C205" s="2" t="s">
        <v>27</v>
      </c>
      <c r="D205" s="2" t="s">
        <v>18</v>
      </c>
      <c r="E205" s="2" t="s">
        <v>13</v>
      </c>
      <c r="F205" s="2" t="s">
        <v>14</v>
      </c>
      <c r="G205" s="2">
        <v>54</v>
      </c>
      <c r="H205" s="9">
        <v>114</v>
      </c>
    </row>
    <row r="206" spans="2:8" x14ac:dyDescent="0.25">
      <c r="B206" s="3">
        <v>44594</v>
      </c>
      <c r="C206" s="2" t="s">
        <v>26</v>
      </c>
      <c r="D206" s="2" t="s">
        <v>12</v>
      </c>
      <c r="E206" s="2" t="s">
        <v>13</v>
      </c>
      <c r="F206" s="2" t="s">
        <v>16</v>
      </c>
      <c r="G206" s="2">
        <v>93</v>
      </c>
      <c r="H206" s="9">
        <v>147</v>
      </c>
    </row>
    <row r="207" spans="2:8" x14ac:dyDescent="0.25">
      <c r="B207" s="3">
        <v>44594</v>
      </c>
      <c r="C207" s="2" t="s">
        <v>27</v>
      </c>
      <c r="D207" s="2" t="s">
        <v>18</v>
      </c>
      <c r="E207" s="2" t="s">
        <v>9</v>
      </c>
      <c r="F207" s="2" t="s">
        <v>14</v>
      </c>
      <c r="G207" s="2">
        <v>64</v>
      </c>
      <c r="H207" s="9">
        <v>71</v>
      </c>
    </row>
    <row r="208" spans="2:8" x14ac:dyDescent="0.25">
      <c r="B208" s="3">
        <v>44595</v>
      </c>
      <c r="C208" s="2" t="s">
        <v>15</v>
      </c>
      <c r="D208" s="2" t="s">
        <v>8</v>
      </c>
      <c r="E208" s="2" t="s">
        <v>13</v>
      </c>
      <c r="F208" s="2" t="s">
        <v>10</v>
      </c>
      <c r="G208" s="2">
        <v>32</v>
      </c>
      <c r="H208" s="9">
        <v>62</v>
      </c>
    </row>
    <row r="209" spans="2:8" x14ac:dyDescent="0.25">
      <c r="B209" s="3">
        <v>44595</v>
      </c>
      <c r="C209" s="2" t="s">
        <v>22</v>
      </c>
      <c r="D209" s="2" t="s">
        <v>12</v>
      </c>
      <c r="E209" s="2" t="s">
        <v>9</v>
      </c>
      <c r="F209" s="2" t="s">
        <v>16</v>
      </c>
      <c r="G209" s="2">
        <v>49</v>
      </c>
      <c r="H209" s="9">
        <v>116</v>
      </c>
    </row>
    <row r="210" spans="2:8" x14ac:dyDescent="0.25">
      <c r="B210" s="3">
        <v>44595</v>
      </c>
      <c r="C210" s="2" t="s">
        <v>21</v>
      </c>
      <c r="D210" s="2" t="s">
        <v>8</v>
      </c>
      <c r="E210" s="2" t="s">
        <v>13</v>
      </c>
      <c r="F210" s="2" t="s">
        <v>10</v>
      </c>
      <c r="G210" s="2">
        <v>56</v>
      </c>
      <c r="H210" s="9">
        <v>44</v>
      </c>
    </row>
    <row r="211" spans="2:8" x14ac:dyDescent="0.25">
      <c r="B211" s="3">
        <v>44595</v>
      </c>
      <c r="C211" s="2" t="s">
        <v>28</v>
      </c>
      <c r="D211" s="2" t="s">
        <v>8</v>
      </c>
      <c r="E211" s="2" t="s">
        <v>13</v>
      </c>
      <c r="F211" s="2" t="s">
        <v>16</v>
      </c>
      <c r="G211" s="2">
        <v>71</v>
      </c>
      <c r="H211" s="9">
        <v>103</v>
      </c>
    </row>
    <row r="212" spans="2:8" x14ac:dyDescent="0.25">
      <c r="B212" s="3">
        <v>44595</v>
      </c>
      <c r="C212" s="2" t="s">
        <v>22</v>
      </c>
      <c r="D212" s="2" t="s">
        <v>12</v>
      </c>
      <c r="E212" s="2" t="s">
        <v>9</v>
      </c>
      <c r="F212" s="2" t="s">
        <v>16</v>
      </c>
      <c r="G212" s="2">
        <v>22</v>
      </c>
      <c r="H212" s="9">
        <v>117</v>
      </c>
    </row>
    <row r="213" spans="2:8" x14ac:dyDescent="0.25">
      <c r="B213" s="3">
        <v>44595</v>
      </c>
      <c r="C213" s="2" t="s">
        <v>28</v>
      </c>
      <c r="D213" s="2" t="s">
        <v>8</v>
      </c>
      <c r="E213" s="2" t="s">
        <v>9</v>
      </c>
      <c r="F213" s="2" t="s">
        <v>16</v>
      </c>
      <c r="G213" s="2">
        <v>67</v>
      </c>
      <c r="H213" s="9">
        <v>127</v>
      </c>
    </row>
    <row r="214" spans="2:8" x14ac:dyDescent="0.25">
      <c r="B214" s="3">
        <v>44595</v>
      </c>
      <c r="C214" s="2" t="s">
        <v>25</v>
      </c>
      <c r="D214" s="2" t="s">
        <v>12</v>
      </c>
      <c r="E214" s="2" t="s">
        <v>13</v>
      </c>
      <c r="F214" s="2" t="s">
        <v>14</v>
      </c>
      <c r="G214" s="2">
        <v>28</v>
      </c>
      <c r="H214" s="9">
        <v>32</v>
      </c>
    </row>
    <row r="215" spans="2:8" x14ac:dyDescent="0.25">
      <c r="B215" s="3">
        <v>44595</v>
      </c>
      <c r="C215" s="2" t="s">
        <v>7</v>
      </c>
      <c r="D215" s="2" t="s">
        <v>8</v>
      </c>
      <c r="E215" s="2" t="s">
        <v>9</v>
      </c>
      <c r="F215" s="2" t="s">
        <v>16</v>
      </c>
      <c r="G215" s="2">
        <v>100</v>
      </c>
      <c r="H215" s="9">
        <v>107</v>
      </c>
    </row>
    <row r="216" spans="2:8" x14ac:dyDescent="0.25">
      <c r="B216" s="3">
        <v>44595</v>
      </c>
      <c r="C216" s="2" t="s">
        <v>19</v>
      </c>
      <c r="D216" s="2" t="s">
        <v>12</v>
      </c>
      <c r="E216" s="2" t="s">
        <v>9</v>
      </c>
      <c r="F216" s="2" t="s">
        <v>14</v>
      </c>
      <c r="G216" s="2">
        <v>22</v>
      </c>
      <c r="H216" s="9">
        <v>98</v>
      </c>
    </row>
    <row r="217" spans="2:8" x14ac:dyDescent="0.25">
      <c r="B217" s="3">
        <v>44596</v>
      </c>
      <c r="C217" s="2" t="s">
        <v>25</v>
      </c>
      <c r="D217" s="2" t="s">
        <v>12</v>
      </c>
      <c r="E217" s="2" t="s">
        <v>13</v>
      </c>
      <c r="F217" s="2" t="s">
        <v>10</v>
      </c>
      <c r="G217" s="2">
        <v>82</v>
      </c>
      <c r="H217" s="9">
        <v>78</v>
      </c>
    </row>
    <row r="218" spans="2:8" x14ac:dyDescent="0.25">
      <c r="B218" s="3">
        <v>44596</v>
      </c>
      <c r="C218" s="2" t="s">
        <v>23</v>
      </c>
      <c r="D218" s="2" t="s">
        <v>18</v>
      </c>
      <c r="E218" s="2" t="s">
        <v>13</v>
      </c>
      <c r="F218" s="2" t="s">
        <v>14</v>
      </c>
      <c r="G218" s="2">
        <v>71</v>
      </c>
      <c r="H218" s="9">
        <v>83</v>
      </c>
    </row>
    <row r="219" spans="2:8" x14ac:dyDescent="0.25">
      <c r="B219" s="3">
        <v>44596</v>
      </c>
      <c r="C219" s="2" t="s">
        <v>17</v>
      </c>
      <c r="D219" s="2" t="s">
        <v>18</v>
      </c>
      <c r="E219" s="2" t="s">
        <v>9</v>
      </c>
      <c r="F219" s="2" t="s">
        <v>16</v>
      </c>
      <c r="G219" s="2">
        <v>64</v>
      </c>
      <c r="H219" s="9">
        <v>56</v>
      </c>
    </row>
    <row r="220" spans="2:8" x14ac:dyDescent="0.25">
      <c r="B220" s="3">
        <v>44596</v>
      </c>
      <c r="C220" s="2" t="s">
        <v>11</v>
      </c>
      <c r="D220" s="2" t="s">
        <v>12</v>
      </c>
      <c r="E220" s="2" t="s">
        <v>13</v>
      </c>
      <c r="F220" s="2" t="s">
        <v>10</v>
      </c>
      <c r="G220" s="2">
        <v>58</v>
      </c>
      <c r="H220" s="9">
        <v>141</v>
      </c>
    </row>
    <row r="221" spans="2:8" x14ac:dyDescent="0.25">
      <c r="B221" s="3">
        <v>44596</v>
      </c>
      <c r="C221" s="2" t="s">
        <v>15</v>
      </c>
      <c r="D221" s="2" t="s">
        <v>8</v>
      </c>
      <c r="E221" s="2" t="s">
        <v>13</v>
      </c>
      <c r="F221" s="2" t="s">
        <v>14</v>
      </c>
      <c r="G221" s="2">
        <v>76</v>
      </c>
      <c r="H221" s="9">
        <v>123</v>
      </c>
    </row>
    <row r="222" spans="2:8" x14ac:dyDescent="0.25">
      <c r="B222" s="3">
        <v>44596</v>
      </c>
      <c r="C222" s="2" t="s">
        <v>11</v>
      </c>
      <c r="D222" s="2" t="s">
        <v>12</v>
      </c>
      <c r="E222" s="2" t="s">
        <v>9</v>
      </c>
      <c r="F222" s="2" t="s">
        <v>16</v>
      </c>
      <c r="G222" s="2">
        <v>16</v>
      </c>
      <c r="H222" s="9">
        <v>33</v>
      </c>
    </row>
    <row r="223" spans="2:8" x14ac:dyDescent="0.25">
      <c r="B223" s="3">
        <v>44596</v>
      </c>
      <c r="C223" s="2" t="s">
        <v>28</v>
      </c>
      <c r="D223" s="2" t="s">
        <v>8</v>
      </c>
      <c r="E223" s="2" t="s">
        <v>9</v>
      </c>
      <c r="F223" s="2" t="s">
        <v>10</v>
      </c>
      <c r="G223" s="2">
        <v>15</v>
      </c>
      <c r="H223" s="9">
        <v>69</v>
      </c>
    </row>
    <row r="224" spans="2:8" x14ac:dyDescent="0.25">
      <c r="B224" s="3">
        <v>44596</v>
      </c>
      <c r="C224" s="2" t="s">
        <v>29</v>
      </c>
      <c r="D224" s="2" t="s">
        <v>18</v>
      </c>
      <c r="E224" s="2" t="s">
        <v>13</v>
      </c>
      <c r="F224" s="2" t="s">
        <v>10</v>
      </c>
      <c r="G224" s="2">
        <v>99</v>
      </c>
      <c r="H224" s="9">
        <v>111</v>
      </c>
    </row>
    <row r="225" spans="2:8" x14ac:dyDescent="0.25">
      <c r="B225" s="3">
        <v>44596</v>
      </c>
      <c r="C225" s="2" t="s">
        <v>25</v>
      </c>
      <c r="D225" s="2" t="s">
        <v>12</v>
      </c>
      <c r="E225" s="2" t="s">
        <v>13</v>
      </c>
      <c r="F225" s="2" t="s">
        <v>10</v>
      </c>
      <c r="G225" s="2">
        <v>76</v>
      </c>
      <c r="H225" s="9">
        <v>138</v>
      </c>
    </row>
    <row r="226" spans="2:8" x14ac:dyDescent="0.25">
      <c r="B226" s="3">
        <v>44597</v>
      </c>
      <c r="C226" s="2" t="s">
        <v>29</v>
      </c>
      <c r="D226" s="2" t="s">
        <v>18</v>
      </c>
      <c r="E226" s="2" t="s">
        <v>9</v>
      </c>
      <c r="F226" s="2" t="s">
        <v>16</v>
      </c>
      <c r="G226" s="2">
        <v>55</v>
      </c>
      <c r="H226" s="9">
        <v>74</v>
      </c>
    </row>
    <row r="227" spans="2:8" x14ac:dyDescent="0.25">
      <c r="B227" s="3">
        <v>44597</v>
      </c>
      <c r="C227" s="2" t="s">
        <v>19</v>
      </c>
      <c r="D227" s="2" t="s">
        <v>12</v>
      </c>
      <c r="E227" s="2" t="s">
        <v>13</v>
      </c>
      <c r="F227" s="2" t="s">
        <v>10</v>
      </c>
      <c r="G227" s="2">
        <v>26</v>
      </c>
      <c r="H227" s="9">
        <v>140</v>
      </c>
    </row>
    <row r="228" spans="2:8" x14ac:dyDescent="0.25">
      <c r="B228" s="3">
        <v>44597</v>
      </c>
      <c r="C228" s="2" t="s">
        <v>27</v>
      </c>
      <c r="D228" s="2" t="s">
        <v>18</v>
      </c>
      <c r="E228" s="2" t="s">
        <v>9</v>
      </c>
      <c r="F228" s="2" t="s">
        <v>16</v>
      </c>
      <c r="G228" s="2">
        <v>97</v>
      </c>
      <c r="H228" s="9">
        <v>78</v>
      </c>
    </row>
    <row r="229" spans="2:8" x14ac:dyDescent="0.25">
      <c r="B229" s="3">
        <v>44597</v>
      </c>
      <c r="C229" s="2" t="s">
        <v>11</v>
      </c>
      <c r="D229" s="2" t="s">
        <v>12</v>
      </c>
      <c r="E229" s="2" t="s">
        <v>9</v>
      </c>
      <c r="F229" s="2" t="s">
        <v>16</v>
      </c>
      <c r="G229" s="2">
        <v>48</v>
      </c>
      <c r="H229" s="9">
        <v>72</v>
      </c>
    </row>
    <row r="230" spans="2:8" x14ac:dyDescent="0.25">
      <c r="B230" s="3">
        <v>44597</v>
      </c>
      <c r="C230" s="2" t="s">
        <v>20</v>
      </c>
      <c r="D230" s="2" t="s">
        <v>8</v>
      </c>
      <c r="E230" s="2" t="s">
        <v>9</v>
      </c>
      <c r="F230" s="2" t="s">
        <v>10</v>
      </c>
      <c r="G230" s="2">
        <v>38</v>
      </c>
      <c r="H230" s="9">
        <v>90</v>
      </c>
    </row>
    <row r="231" spans="2:8" x14ac:dyDescent="0.25">
      <c r="B231" s="3">
        <v>44597</v>
      </c>
      <c r="C231" s="2" t="s">
        <v>21</v>
      </c>
      <c r="D231" s="2" t="s">
        <v>8</v>
      </c>
      <c r="E231" s="2" t="s">
        <v>13</v>
      </c>
      <c r="F231" s="2" t="s">
        <v>16</v>
      </c>
      <c r="G231" s="2">
        <v>61</v>
      </c>
      <c r="H231" s="9">
        <v>75</v>
      </c>
    </row>
    <row r="232" spans="2:8" x14ac:dyDescent="0.25">
      <c r="B232" s="3">
        <v>44597</v>
      </c>
      <c r="C232" s="2" t="s">
        <v>15</v>
      </c>
      <c r="D232" s="2" t="s">
        <v>8</v>
      </c>
      <c r="E232" s="2" t="s">
        <v>9</v>
      </c>
      <c r="F232" s="2" t="s">
        <v>10</v>
      </c>
      <c r="G232" s="2">
        <v>71</v>
      </c>
      <c r="H232" s="9">
        <v>140</v>
      </c>
    </row>
    <row r="233" spans="2:8" x14ac:dyDescent="0.25">
      <c r="B233" s="3">
        <v>44598</v>
      </c>
      <c r="C233" s="2" t="s">
        <v>27</v>
      </c>
      <c r="D233" s="2" t="s">
        <v>18</v>
      </c>
      <c r="E233" s="2" t="s">
        <v>13</v>
      </c>
      <c r="F233" s="2" t="s">
        <v>16</v>
      </c>
      <c r="G233" s="2">
        <v>79</v>
      </c>
      <c r="H233" s="9">
        <v>90</v>
      </c>
    </row>
    <row r="234" spans="2:8" x14ac:dyDescent="0.25">
      <c r="B234" s="3">
        <v>44598</v>
      </c>
      <c r="C234" s="2" t="s">
        <v>21</v>
      </c>
      <c r="D234" s="2" t="s">
        <v>8</v>
      </c>
      <c r="E234" s="2" t="s">
        <v>9</v>
      </c>
      <c r="F234" s="2" t="s">
        <v>16</v>
      </c>
      <c r="G234" s="2">
        <v>90</v>
      </c>
      <c r="H234" s="9">
        <v>25</v>
      </c>
    </row>
    <row r="235" spans="2:8" x14ac:dyDescent="0.25">
      <c r="B235" s="3">
        <v>44598</v>
      </c>
      <c r="C235" s="2" t="s">
        <v>19</v>
      </c>
      <c r="D235" s="2" t="s">
        <v>12</v>
      </c>
      <c r="E235" s="2" t="s">
        <v>9</v>
      </c>
      <c r="F235" s="2" t="s">
        <v>10</v>
      </c>
      <c r="G235" s="2">
        <v>53</v>
      </c>
      <c r="H235" s="9">
        <v>104</v>
      </c>
    </row>
    <row r="236" spans="2:8" x14ac:dyDescent="0.25">
      <c r="B236" s="3">
        <v>44598</v>
      </c>
      <c r="C236" s="2" t="s">
        <v>27</v>
      </c>
      <c r="D236" s="2" t="s">
        <v>18</v>
      </c>
      <c r="E236" s="2" t="s">
        <v>13</v>
      </c>
      <c r="F236" s="2" t="s">
        <v>10</v>
      </c>
      <c r="G236" s="2">
        <v>95</v>
      </c>
      <c r="H236" s="9">
        <v>115</v>
      </c>
    </row>
    <row r="237" spans="2:8" x14ac:dyDescent="0.25">
      <c r="B237" s="3">
        <v>44598</v>
      </c>
      <c r="C237" s="2" t="s">
        <v>21</v>
      </c>
      <c r="D237" s="2" t="s">
        <v>8</v>
      </c>
      <c r="E237" s="2" t="s">
        <v>9</v>
      </c>
      <c r="F237" s="2" t="s">
        <v>16</v>
      </c>
      <c r="G237" s="2">
        <v>61</v>
      </c>
      <c r="H237" s="9">
        <v>51</v>
      </c>
    </row>
    <row r="238" spans="2:8" x14ac:dyDescent="0.25">
      <c r="B238" s="3">
        <v>44598</v>
      </c>
      <c r="C238" s="2" t="s">
        <v>26</v>
      </c>
      <c r="D238" s="2" t="s">
        <v>12</v>
      </c>
      <c r="E238" s="2" t="s">
        <v>13</v>
      </c>
      <c r="F238" s="2" t="s">
        <v>16</v>
      </c>
      <c r="G238" s="2">
        <v>39</v>
      </c>
      <c r="H238" s="9">
        <v>103</v>
      </c>
    </row>
    <row r="239" spans="2:8" x14ac:dyDescent="0.25">
      <c r="B239" s="3">
        <v>44598</v>
      </c>
      <c r="C239" s="2" t="s">
        <v>22</v>
      </c>
      <c r="D239" s="2" t="s">
        <v>12</v>
      </c>
      <c r="E239" s="2" t="s">
        <v>9</v>
      </c>
      <c r="F239" s="2" t="s">
        <v>10</v>
      </c>
      <c r="G239" s="2">
        <v>95</v>
      </c>
      <c r="H239" s="9">
        <v>74</v>
      </c>
    </row>
    <row r="240" spans="2:8" x14ac:dyDescent="0.25">
      <c r="B240" s="3">
        <v>44598</v>
      </c>
      <c r="C240" s="2" t="s">
        <v>28</v>
      </c>
      <c r="D240" s="2" t="s">
        <v>8</v>
      </c>
      <c r="E240" s="2" t="s">
        <v>13</v>
      </c>
      <c r="F240" s="2" t="s">
        <v>10</v>
      </c>
      <c r="G240" s="2">
        <v>98</v>
      </c>
      <c r="H240" s="9">
        <v>26</v>
      </c>
    </row>
    <row r="241" spans="2:8" x14ac:dyDescent="0.25">
      <c r="B241" s="3">
        <v>44598</v>
      </c>
      <c r="C241" s="2" t="s">
        <v>28</v>
      </c>
      <c r="D241" s="2" t="s">
        <v>8</v>
      </c>
      <c r="E241" s="2" t="s">
        <v>13</v>
      </c>
      <c r="F241" s="2" t="s">
        <v>14</v>
      </c>
      <c r="G241" s="2">
        <v>58</v>
      </c>
      <c r="H241" s="9">
        <v>124</v>
      </c>
    </row>
    <row r="242" spans="2:8" x14ac:dyDescent="0.25">
      <c r="B242" s="3">
        <v>44598</v>
      </c>
      <c r="C242" s="2" t="s">
        <v>11</v>
      </c>
      <c r="D242" s="2" t="s">
        <v>12</v>
      </c>
      <c r="E242" s="2" t="s">
        <v>13</v>
      </c>
      <c r="F242" s="2" t="s">
        <v>14</v>
      </c>
      <c r="G242" s="2">
        <v>62</v>
      </c>
      <c r="H242" s="9">
        <v>84</v>
      </c>
    </row>
    <row r="243" spans="2:8" x14ac:dyDescent="0.25">
      <c r="B243" s="3">
        <v>44599</v>
      </c>
      <c r="C243" s="2" t="s">
        <v>15</v>
      </c>
      <c r="D243" s="2" t="s">
        <v>8</v>
      </c>
      <c r="E243" s="2" t="s">
        <v>13</v>
      </c>
      <c r="F243" s="2" t="s">
        <v>10</v>
      </c>
      <c r="G243" s="2">
        <v>74</v>
      </c>
      <c r="H243" s="9">
        <v>37</v>
      </c>
    </row>
    <row r="244" spans="2:8" x14ac:dyDescent="0.25">
      <c r="B244" s="3">
        <v>44599</v>
      </c>
      <c r="C244" s="2" t="s">
        <v>27</v>
      </c>
      <c r="D244" s="2" t="s">
        <v>18</v>
      </c>
      <c r="E244" s="2" t="s">
        <v>13</v>
      </c>
      <c r="F244" s="2" t="s">
        <v>14</v>
      </c>
      <c r="G244" s="2">
        <v>13</v>
      </c>
      <c r="H244" s="9">
        <v>112</v>
      </c>
    </row>
    <row r="245" spans="2:8" x14ac:dyDescent="0.25">
      <c r="B245" s="3">
        <v>44599</v>
      </c>
      <c r="C245" s="2" t="s">
        <v>15</v>
      </c>
      <c r="D245" s="2" t="s">
        <v>8</v>
      </c>
      <c r="E245" s="2" t="s">
        <v>9</v>
      </c>
      <c r="F245" s="2" t="s">
        <v>16</v>
      </c>
      <c r="G245" s="2">
        <v>77</v>
      </c>
      <c r="H245" s="9">
        <v>103</v>
      </c>
    </row>
    <row r="246" spans="2:8" x14ac:dyDescent="0.25">
      <c r="B246" s="3">
        <v>44599</v>
      </c>
      <c r="C246" s="2" t="s">
        <v>25</v>
      </c>
      <c r="D246" s="2" t="s">
        <v>12</v>
      </c>
      <c r="E246" s="2" t="s">
        <v>13</v>
      </c>
      <c r="F246" s="2" t="s">
        <v>16</v>
      </c>
      <c r="G246" s="2">
        <v>72</v>
      </c>
      <c r="H246" s="9">
        <v>44</v>
      </c>
    </row>
    <row r="247" spans="2:8" x14ac:dyDescent="0.25">
      <c r="B247" s="3">
        <v>44599</v>
      </c>
      <c r="C247" s="2" t="s">
        <v>27</v>
      </c>
      <c r="D247" s="2" t="s">
        <v>18</v>
      </c>
      <c r="E247" s="2" t="s">
        <v>13</v>
      </c>
      <c r="F247" s="2" t="s">
        <v>10</v>
      </c>
      <c r="G247" s="2">
        <v>56</v>
      </c>
      <c r="H247" s="9">
        <v>128</v>
      </c>
    </row>
    <row r="248" spans="2:8" x14ac:dyDescent="0.25">
      <c r="B248" s="3">
        <v>44599</v>
      </c>
      <c r="C248" s="2" t="s">
        <v>7</v>
      </c>
      <c r="D248" s="2" t="s">
        <v>8</v>
      </c>
      <c r="E248" s="2" t="s">
        <v>13</v>
      </c>
      <c r="F248" s="2" t="s">
        <v>14</v>
      </c>
      <c r="G248" s="2">
        <v>68</v>
      </c>
      <c r="H248" s="9">
        <v>80</v>
      </c>
    </row>
    <row r="249" spans="2:8" x14ac:dyDescent="0.25">
      <c r="B249" s="3">
        <v>44599</v>
      </c>
      <c r="C249" s="2" t="s">
        <v>19</v>
      </c>
      <c r="D249" s="2" t="s">
        <v>12</v>
      </c>
      <c r="E249" s="2" t="s">
        <v>13</v>
      </c>
      <c r="F249" s="2" t="s">
        <v>16</v>
      </c>
      <c r="G249" s="2">
        <v>18</v>
      </c>
      <c r="H249" s="9">
        <v>50</v>
      </c>
    </row>
    <row r="250" spans="2:8" x14ac:dyDescent="0.25">
      <c r="B250" s="3">
        <v>44600</v>
      </c>
      <c r="C250" s="2" t="s">
        <v>21</v>
      </c>
      <c r="D250" s="2" t="s">
        <v>8</v>
      </c>
      <c r="E250" s="2" t="s">
        <v>9</v>
      </c>
      <c r="F250" s="2" t="s">
        <v>10</v>
      </c>
      <c r="G250" s="2">
        <v>60</v>
      </c>
      <c r="H250" s="9">
        <v>88</v>
      </c>
    </row>
    <row r="251" spans="2:8" x14ac:dyDescent="0.25">
      <c r="B251" s="3">
        <v>44600</v>
      </c>
      <c r="C251" s="2" t="s">
        <v>25</v>
      </c>
      <c r="D251" s="2" t="s">
        <v>12</v>
      </c>
      <c r="E251" s="2" t="s">
        <v>9</v>
      </c>
      <c r="F251" s="2" t="s">
        <v>14</v>
      </c>
      <c r="G251" s="2">
        <v>54</v>
      </c>
      <c r="H251" s="9">
        <v>20</v>
      </c>
    </row>
    <row r="252" spans="2:8" x14ac:dyDescent="0.25">
      <c r="B252" s="3">
        <v>44600</v>
      </c>
      <c r="C252" s="2" t="s">
        <v>15</v>
      </c>
      <c r="D252" s="2" t="s">
        <v>8</v>
      </c>
      <c r="E252" s="2" t="s">
        <v>9</v>
      </c>
      <c r="F252" s="2" t="s">
        <v>16</v>
      </c>
      <c r="G252" s="2">
        <v>11</v>
      </c>
      <c r="H252" s="9">
        <v>92</v>
      </c>
    </row>
    <row r="253" spans="2:8" x14ac:dyDescent="0.25">
      <c r="B253" s="3">
        <v>44601</v>
      </c>
      <c r="C253" s="2" t="s">
        <v>29</v>
      </c>
      <c r="D253" s="2" t="s">
        <v>18</v>
      </c>
      <c r="E253" s="2" t="s">
        <v>13</v>
      </c>
      <c r="F253" s="2" t="s">
        <v>14</v>
      </c>
      <c r="G253" s="2">
        <v>50</v>
      </c>
      <c r="H253" s="9">
        <v>96</v>
      </c>
    </row>
    <row r="254" spans="2:8" x14ac:dyDescent="0.25">
      <c r="B254" s="3">
        <v>44601</v>
      </c>
      <c r="C254" s="2" t="s">
        <v>11</v>
      </c>
      <c r="D254" s="2" t="s">
        <v>12</v>
      </c>
      <c r="E254" s="2" t="s">
        <v>9</v>
      </c>
      <c r="F254" s="2" t="s">
        <v>10</v>
      </c>
      <c r="G254" s="2">
        <v>49</v>
      </c>
      <c r="H254" s="9">
        <v>94</v>
      </c>
    </row>
    <row r="255" spans="2:8" x14ac:dyDescent="0.25">
      <c r="B255" s="3">
        <v>44601</v>
      </c>
      <c r="C255" s="2" t="s">
        <v>20</v>
      </c>
      <c r="D255" s="2" t="s">
        <v>8</v>
      </c>
      <c r="E255" s="2" t="s">
        <v>9</v>
      </c>
      <c r="F255" s="2" t="s">
        <v>16</v>
      </c>
      <c r="G255" s="2">
        <v>52</v>
      </c>
      <c r="H255" s="9">
        <v>143</v>
      </c>
    </row>
    <row r="256" spans="2:8" x14ac:dyDescent="0.25">
      <c r="B256" s="3">
        <v>44601</v>
      </c>
      <c r="C256" s="2" t="s">
        <v>15</v>
      </c>
      <c r="D256" s="2" t="s">
        <v>8</v>
      </c>
      <c r="E256" s="2" t="s">
        <v>9</v>
      </c>
      <c r="F256" s="2" t="s">
        <v>10</v>
      </c>
      <c r="G256" s="2">
        <v>80</v>
      </c>
      <c r="H256" s="9">
        <v>30</v>
      </c>
    </row>
    <row r="257" spans="2:8" x14ac:dyDescent="0.25">
      <c r="B257" s="3">
        <v>44601</v>
      </c>
      <c r="C257" s="2" t="s">
        <v>24</v>
      </c>
      <c r="D257" s="2" t="s">
        <v>18</v>
      </c>
      <c r="E257" s="2" t="s">
        <v>13</v>
      </c>
      <c r="F257" s="2" t="s">
        <v>16</v>
      </c>
      <c r="G257" s="2">
        <v>73</v>
      </c>
      <c r="H257" s="9">
        <v>96</v>
      </c>
    </row>
    <row r="258" spans="2:8" x14ac:dyDescent="0.25">
      <c r="B258" s="3">
        <v>44601</v>
      </c>
      <c r="C258" s="2" t="s">
        <v>21</v>
      </c>
      <c r="D258" s="2" t="s">
        <v>8</v>
      </c>
      <c r="E258" s="2" t="s">
        <v>9</v>
      </c>
      <c r="F258" s="2" t="s">
        <v>16</v>
      </c>
      <c r="G258" s="2">
        <v>59</v>
      </c>
      <c r="H258" s="9">
        <v>106</v>
      </c>
    </row>
    <row r="259" spans="2:8" x14ac:dyDescent="0.25">
      <c r="B259" s="3">
        <v>44601</v>
      </c>
      <c r="C259" s="2" t="s">
        <v>23</v>
      </c>
      <c r="D259" s="2" t="s">
        <v>18</v>
      </c>
      <c r="E259" s="2" t="s">
        <v>13</v>
      </c>
      <c r="F259" s="2" t="s">
        <v>16</v>
      </c>
      <c r="G259" s="2">
        <v>92</v>
      </c>
      <c r="H259" s="9">
        <v>70</v>
      </c>
    </row>
    <row r="260" spans="2:8" x14ac:dyDescent="0.25">
      <c r="B260" s="3">
        <v>44601</v>
      </c>
      <c r="C260" s="2" t="s">
        <v>28</v>
      </c>
      <c r="D260" s="2" t="s">
        <v>8</v>
      </c>
      <c r="E260" s="2" t="s">
        <v>9</v>
      </c>
      <c r="F260" s="2" t="s">
        <v>10</v>
      </c>
      <c r="G260" s="2">
        <v>99</v>
      </c>
      <c r="H260" s="9">
        <v>51</v>
      </c>
    </row>
    <row r="261" spans="2:8" x14ac:dyDescent="0.25">
      <c r="B261" s="3">
        <v>44601</v>
      </c>
      <c r="C261" s="2" t="s">
        <v>24</v>
      </c>
      <c r="D261" s="2" t="s">
        <v>18</v>
      </c>
      <c r="E261" s="2" t="s">
        <v>9</v>
      </c>
      <c r="F261" s="2" t="s">
        <v>14</v>
      </c>
      <c r="G261" s="2">
        <v>31</v>
      </c>
      <c r="H261" s="9">
        <v>136</v>
      </c>
    </row>
    <row r="262" spans="2:8" x14ac:dyDescent="0.25">
      <c r="B262" s="3">
        <v>44601</v>
      </c>
      <c r="C262" s="2" t="s">
        <v>26</v>
      </c>
      <c r="D262" s="2" t="s">
        <v>12</v>
      </c>
      <c r="E262" s="2" t="s">
        <v>9</v>
      </c>
      <c r="F262" s="2" t="s">
        <v>16</v>
      </c>
      <c r="G262" s="2">
        <v>43</v>
      </c>
      <c r="H262" s="9">
        <v>108</v>
      </c>
    </row>
    <row r="263" spans="2:8" x14ac:dyDescent="0.25">
      <c r="B263" s="3">
        <v>44602</v>
      </c>
      <c r="C263" s="2" t="s">
        <v>25</v>
      </c>
      <c r="D263" s="2" t="s">
        <v>12</v>
      </c>
      <c r="E263" s="2" t="s">
        <v>9</v>
      </c>
      <c r="F263" s="2" t="s">
        <v>16</v>
      </c>
      <c r="G263" s="2">
        <v>56</v>
      </c>
      <c r="H263" s="9">
        <v>94</v>
      </c>
    </row>
    <row r="264" spans="2:8" x14ac:dyDescent="0.25">
      <c r="B264" s="3">
        <v>44602</v>
      </c>
      <c r="C264" s="2" t="s">
        <v>23</v>
      </c>
      <c r="D264" s="2" t="s">
        <v>18</v>
      </c>
      <c r="E264" s="2" t="s">
        <v>9</v>
      </c>
      <c r="F264" s="2" t="s">
        <v>14</v>
      </c>
      <c r="G264" s="2">
        <v>98</v>
      </c>
      <c r="H264" s="9">
        <v>52</v>
      </c>
    </row>
    <row r="265" spans="2:8" x14ac:dyDescent="0.25">
      <c r="B265" s="3">
        <v>44602</v>
      </c>
      <c r="C265" s="2" t="s">
        <v>24</v>
      </c>
      <c r="D265" s="2" t="s">
        <v>18</v>
      </c>
      <c r="E265" s="2" t="s">
        <v>9</v>
      </c>
      <c r="F265" s="2" t="s">
        <v>16</v>
      </c>
      <c r="G265" s="2">
        <v>22</v>
      </c>
      <c r="H265" s="9">
        <v>88</v>
      </c>
    </row>
    <row r="266" spans="2:8" x14ac:dyDescent="0.25">
      <c r="B266" s="3">
        <v>44602</v>
      </c>
      <c r="C266" s="2" t="s">
        <v>19</v>
      </c>
      <c r="D266" s="2" t="s">
        <v>12</v>
      </c>
      <c r="E266" s="2" t="s">
        <v>9</v>
      </c>
      <c r="F266" s="2" t="s">
        <v>10</v>
      </c>
      <c r="G266" s="2">
        <v>63</v>
      </c>
      <c r="H266" s="9">
        <v>45</v>
      </c>
    </row>
    <row r="267" spans="2:8" x14ac:dyDescent="0.25">
      <c r="B267" s="3">
        <v>44602</v>
      </c>
      <c r="C267" s="2" t="s">
        <v>22</v>
      </c>
      <c r="D267" s="2" t="s">
        <v>12</v>
      </c>
      <c r="E267" s="2" t="s">
        <v>13</v>
      </c>
      <c r="F267" s="2" t="s">
        <v>14</v>
      </c>
      <c r="G267" s="2">
        <v>45</v>
      </c>
      <c r="H267" s="9">
        <v>43</v>
      </c>
    </row>
    <row r="268" spans="2:8" x14ac:dyDescent="0.25">
      <c r="B268" s="3">
        <v>44602</v>
      </c>
      <c r="C268" s="2" t="s">
        <v>19</v>
      </c>
      <c r="D268" s="2" t="s">
        <v>12</v>
      </c>
      <c r="E268" s="2" t="s">
        <v>9</v>
      </c>
      <c r="F268" s="2" t="s">
        <v>16</v>
      </c>
      <c r="G268" s="2">
        <v>49</v>
      </c>
      <c r="H268" s="9">
        <v>24</v>
      </c>
    </row>
    <row r="269" spans="2:8" x14ac:dyDescent="0.25">
      <c r="B269" s="3">
        <v>44602</v>
      </c>
      <c r="C269" s="2" t="s">
        <v>27</v>
      </c>
      <c r="D269" s="2" t="s">
        <v>18</v>
      </c>
      <c r="E269" s="2" t="s">
        <v>13</v>
      </c>
      <c r="F269" s="2" t="s">
        <v>14</v>
      </c>
      <c r="G269" s="2">
        <v>82</v>
      </c>
      <c r="H269" s="9">
        <v>112</v>
      </c>
    </row>
    <row r="270" spans="2:8" x14ac:dyDescent="0.25">
      <c r="B270" s="3">
        <v>44602</v>
      </c>
      <c r="C270" s="2" t="s">
        <v>27</v>
      </c>
      <c r="D270" s="2" t="s">
        <v>18</v>
      </c>
      <c r="E270" s="2" t="s">
        <v>13</v>
      </c>
      <c r="F270" s="2" t="s">
        <v>16</v>
      </c>
      <c r="G270" s="2">
        <v>81</v>
      </c>
      <c r="H270" s="9">
        <v>70</v>
      </c>
    </row>
    <row r="271" spans="2:8" x14ac:dyDescent="0.25">
      <c r="B271" s="3">
        <v>44603</v>
      </c>
      <c r="C271" s="2" t="s">
        <v>7</v>
      </c>
      <c r="D271" s="2" t="s">
        <v>8</v>
      </c>
      <c r="E271" s="2" t="s">
        <v>13</v>
      </c>
      <c r="F271" s="2" t="s">
        <v>14</v>
      </c>
      <c r="G271" s="2">
        <v>22</v>
      </c>
      <c r="H271" s="9">
        <v>90</v>
      </c>
    </row>
    <row r="272" spans="2:8" x14ac:dyDescent="0.25">
      <c r="B272" s="3">
        <v>44603</v>
      </c>
      <c r="C272" s="2" t="s">
        <v>20</v>
      </c>
      <c r="D272" s="2" t="s">
        <v>8</v>
      </c>
      <c r="E272" s="2" t="s">
        <v>13</v>
      </c>
      <c r="F272" s="2" t="s">
        <v>14</v>
      </c>
      <c r="G272" s="2">
        <v>16</v>
      </c>
      <c r="H272" s="9">
        <v>40</v>
      </c>
    </row>
    <row r="273" spans="2:8" x14ac:dyDescent="0.25">
      <c r="B273" s="3">
        <v>44603</v>
      </c>
      <c r="C273" s="2" t="s">
        <v>24</v>
      </c>
      <c r="D273" s="2" t="s">
        <v>18</v>
      </c>
      <c r="E273" s="2" t="s">
        <v>9</v>
      </c>
      <c r="F273" s="2" t="s">
        <v>16</v>
      </c>
      <c r="G273" s="2">
        <v>62</v>
      </c>
      <c r="H273" s="9">
        <v>78</v>
      </c>
    </row>
    <row r="274" spans="2:8" x14ac:dyDescent="0.25">
      <c r="B274" s="3">
        <v>44603</v>
      </c>
      <c r="C274" s="2" t="s">
        <v>29</v>
      </c>
      <c r="D274" s="2" t="s">
        <v>18</v>
      </c>
      <c r="E274" s="2" t="s">
        <v>13</v>
      </c>
      <c r="F274" s="2" t="s">
        <v>10</v>
      </c>
      <c r="G274" s="2">
        <v>37</v>
      </c>
      <c r="H274" s="9">
        <v>106</v>
      </c>
    </row>
    <row r="275" spans="2:8" x14ac:dyDescent="0.25">
      <c r="B275" s="3">
        <v>44603</v>
      </c>
      <c r="C275" s="2" t="s">
        <v>11</v>
      </c>
      <c r="D275" s="2" t="s">
        <v>12</v>
      </c>
      <c r="E275" s="2" t="s">
        <v>9</v>
      </c>
      <c r="F275" s="2" t="s">
        <v>10</v>
      </c>
      <c r="G275" s="2">
        <v>37</v>
      </c>
      <c r="H275" s="9">
        <v>103</v>
      </c>
    </row>
    <row r="276" spans="2:8" x14ac:dyDescent="0.25">
      <c r="B276" s="3">
        <v>44604</v>
      </c>
      <c r="C276" s="2" t="s">
        <v>24</v>
      </c>
      <c r="D276" s="2" t="s">
        <v>18</v>
      </c>
      <c r="E276" s="2" t="s">
        <v>9</v>
      </c>
      <c r="F276" s="2" t="s">
        <v>10</v>
      </c>
      <c r="G276" s="2">
        <v>81</v>
      </c>
      <c r="H276" s="9">
        <v>149</v>
      </c>
    </row>
    <row r="277" spans="2:8" x14ac:dyDescent="0.25">
      <c r="B277" s="3">
        <v>44604</v>
      </c>
      <c r="C277" s="2" t="s">
        <v>19</v>
      </c>
      <c r="D277" s="2" t="s">
        <v>12</v>
      </c>
      <c r="E277" s="2" t="s">
        <v>13</v>
      </c>
      <c r="F277" s="2" t="s">
        <v>14</v>
      </c>
      <c r="G277" s="2">
        <v>40</v>
      </c>
      <c r="H277" s="9">
        <v>38</v>
      </c>
    </row>
    <row r="278" spans="2:8" x14ac:dyDescent="0.25">
      <c r="B278" s="3">
        <v>44605</v>
      </c>
      <c r="C278" s="2" t="s">
        <v>7</v>
      </c>
      <c r="D278" s="2" t="s">
        <v>8</v>
      </c>
      <c r="E278" s="2" t="s">
        <v>9</v>
      </c>
      <c r="F278" s="2" t="s">
        <v>10</v>
      </c>
      <c r="G278" s="2">
        <v>34</v>
      </c>
      <c r="H278" s="9">
        <v>65</v>
      </c>
    </row>
    <row r="279" spans="2:8" x14ac:dyDescent="0.25">
      <c r="B279" s="3">
        <v>44605</v>
      </c>
      <c r="C279" s="2" t="s">
        <v>24</v>
      </c>
      <c r="D279" s="2" t="s">
        <v>18</v>
      </c>
      <c r="E279" s="2" t="s">
        <v>9</v>
      </c>
      <c r="F279" s="2" t="s">
        <v>14</v>
      </c>
      <c r="G279" s="2">
        <v>12</v>
      </c>
      <c r="H279" s="9">
        <v>21</v>
      </c>
    </row>
    <row r="280" spans="2:8" x14ac:dyDescent="0.25">
      <c r="B280" s="3">
        <v>44605</v>
      </c>
      <c r="C280" s="2" t="s">
        <v>22</v>
      </c>
      <c r="D280" s="2" t="s">
        <v>12</v>
      </c>
      <c r="E280" s="2" t="s">
        <v>9</v>
      </c>
      <c r="F280" s="2" t="s">
        <v>16</v>
      </c>
      <c r="G280" s="2">
        <v>42</v>
      </c>
      <c r="H280" s="9">
        <v>123</v>
      </c>
    </row>
    <row r="281" spans="2:8" x14ac:dyDescent="0.25">
      <c r="B281" s="3">
        <v>44605</v>
      </c>
      <c r="C281" s="2" t="s">
        <v>11</v>
      </c>
      <c r="D281" s="2" t="s">
        <v>12</v>
      </c>
      <c r="E281" s="2" t="s">
        <v>9</v>
      </c>
      <c r="F281" s="2" t="s">
        <v>14</v>
      </c>
      <c r="G281" s="2">
        <v>31</v>
      </c>
      <c r="H281" s="9">
        <v>136</v>
      </c>
    </row>
    <row r="282" spans="2:8" x14ac:dyDescent="0.25">
      <c r="B282" s="3">
        <v>44605</v>
      </c>
      <c r="C282" s="2" t="s">
        <v>24</v>
      </c>
      <c r="D282" s="2" t="s">
        <v>18</v>
      </c>
      <c r="E282" s="2" t="s">
        <v>9</v>
      </c>
      <c r="F282" s="2" t="s">
        <v>14</v>
      </c>
      <c r="G282" s="2">
        <v>95</v>
      </c>
      <c r="H282" s="9">
        <v>76</v>
      </c>
    </row>
    <row r="283" spans="2:8" x14ac:dyDescent="0.25">
      <c r="B283" s="3">
        <v>44605</v>
      </c>
      <c r="C283" s="2" t="s">
        <v>29</v>
      </c>
      <c r="D283" s="2" t="s">
        <v>18</v>
      </c>
      <c r="E283" s="2" t="s">
        <v>13</v>
      </c>
      <c r="F283" s="2" t="s">
        <v>10</v>
      </c>
      <c r="G283" s="2">
        <v>53</v>
      </c>
      <c r="H283" s="9">
        <v>96</v>
      </c>
    </row>
    <row r="284" spans="2:8" x14ac:dyDescent="0.25">
      <c r="B284" s="3">
        <v>44605</v>
      </c>
      <c r="C284" s="2" t="s">
        <v>28</v>
      </c>
      <c r="D284" s="2" t="s">
        <v>8</v>
      </c>
      <c r="E284" s="2" t="s">
        <v>9</v>
      </c>
      <c r="F284" s="2" t="s">
        <v>16</v>
      </c>
      <c r="G284" s="2">
        <v>42</v>
      </c>
      <c r="H284" s="9">
        <v>138</v>
      </c>
    </row>
    <row r="285" spans="2:8" x14ac:dyDescent="0.25">
      <c r="B285" s="3">
        <v>44606</v>
      </c>
      <c r="C285" s="2" t="s">
        <v>15</v>
      </c>
      <c r="D285" s="2" t="s">
        <v>8</v>
      </c>
      <c r="E285" s="2" t="s">
        <v>9</v>
      </c>
      <c r="F285" s="2" t="s">
        <v>16</v>
      </c>
      <c r="G285" s="2">
        <v>72</v>
      </c>
      <c r="H285" s="9">
        <v>39</v>
      </c>
    </row>
    <row r="286" spans="2:8" x14ac:dyDescent="0.25">
      <c r="B286" s="3">
        <v>44606</v>
      </c>
      <c r="C286" s="2" t="s">
        <v>20</v>
      </c>
      <c r="D286" s="2" t="s">
        <v>8</v>
      </c>
      <c r="E286" s="2" t="s">
        <v>13</v>
      </c>
      <c r="F286" s="2" t="s">
        <v>10</v>
      </c>
      <c r="G286" s="2">
        <v>76</v>
      </c>
      <c r="H286" s="9">
        <v>53</v>
      </c>
    </row>
    <row r="287" spans="2:8" x14ac:dyDescent="0.25">
      <c r="B287" s="3">
        <v>44606</v>
      </c>
      <c r="C287" s="2" t="s">
        <v>11</v>
      </c>
      <c r="D287" s="2" t="s">
        <v>12</v>
      </c>
      <c r="E287" s="2" t="s">
        <v>13</v>
      </c>
      <c r="F287" s="2" t="s">
        <v>10</v>
      </c>
      <c r="G287" s="2">
        <v>88</v>
      </c>
      <c r="H287" s="9">
        <v>75</v>
      </c>
    </row>
    <row r="288" spans="2:8" x14ac:dyDescent="0.25">
      <c r="B288" s="3">
        <v>44606</v>
      </c>
      <c r="C288" s="2" t="s">
        <v>21</v>
      </c>
      <c r="D288" s="2" t="s">
        <v>8</v>
      </c>
      <c r="E288" s="2" t="s">
        <v>13</v>
      </c>
      <c r="F288" s="2" t="s">
        <v>14</v>
      </c>
      <c r="G288" s="2">
        <v>75</v>
      </c>
      <c r="H288" s="9">
        <v>146</v>
      </c>
    </row>
    <row r="289" spans="2:8" x14ac:dyDescent="0.25">
      <c r="B289" s="3">
        <v>44606</v>
      </c>
      <c r="C289" s="2" t="s">
        <v>26</v>
      </c>
      <c r="D289" s="2" t="s">
        <v>12</v>
      </c>
      <c r="E289" s="2" t="s">
        <v>9</v>
      </c>
      <c r="F289" s="2" t="s">
        <v>10</v>
      </c>
      <c r="G289" s="2">
        <v>94</v>
      </c>
      <c r="H289" s="9">
        <v>81</v>
      </c>
    </row>
    <row r="290" spans="2:8" x14ac:dyDescent="0.25">
      <c r="B290" s="3">
        <v>44606</v>
      </c>
      <c r="C290" s="2" t="s">
        <v>29</v>
      </c>
      <c r="D290" s="2" t="s">
        <v>18</v>
      </c>
      <c r="E290" s="2" t="s">
        <v>13</v>
      </c>
      <c r="F290" s="2" t="s">
        <v>16</v>
      </c>
      <c r="G290" s="2">
        <v>66</v>
      </c>
      <c r="H290" s="9">
        <v>31</v>
      </c>
    </row>
    <row r="291" spans="2:8" x14ac:dyDescent="0.25">
      <c r="B291" s="3">
        <v>44607</v>
      </c>
      <c r="C291" s="2" t="s">
        <v>19</v>
      </c>
      <c r="D291" s="2" t="s">
        <v>12</v>
      </c>
      <c r="E291" s="2" t="s">
        <v>9</v>
      </c>
      <c r="F291" s="2" t="s">
        <v>14</v>
      </c>
      <c r="G291" s="2">
        <v>89</v>
      </c>
      <c r="H291" s="9">
        <v>124</v>
      </c>
    </row>
    <row r="292" spans="2:8" x14ac:dyDescent="0.25">
      <c r="B292" s="3">
        <v>44607</v>
      </c>
      <c r="C292" s="2" t="s">
        <v>28</v>
      </c>
      <c r="D292" s="2" t="s">
        <v>8</v>
      </c>
      <c r="E292" s="2" t="s">
        <v>9</v>
      </c>
      <c r="F292" s="2" t="s">
        <v>16</v>
      </c>
      <c r="G292" s="2">
        <v>89</v>
      </c>
      <c r="H292" s="9">
        <v>37</v>
      </c>
    </row>
    <row r="293" spans="2:8" x14ac:dyDescent="0.25">
      <c r="B293" s="3">
        <v>44607</v>
      </c>
      <c r="C293" s="2" t="s">
        <v>17</v>
      </c>
      <c r="D293" s="2" t="s">
        <v>18</v>
      </c>
      <c r="E293" s="2" t="s">
        <v>9</v>
      </c>
      <c r="F293" s="2" t="s">
        <v>14</v>
      </c>
      <c r="G293" s="2">
        <v>75</v>
      </c>
      <c r="H293" s="9">
        <v>102</v>
      </c>
    </row>
    <row r="294" spans="2:8" x14ac:dyDescent="0.25">
      <c r="B294" s="3">
        <v>44607</v>
      </c>
      <c r="C294" s="2" t="s">
        <v>21</v>
      </c>
      <c r="D294" s="2" t="s">
        <v>8</v>
      </c>
      <c r="E294" s="2" t="s">
        <v>13</v>
      </c>
      <c r="F294" s="2" t="s">
        <v>14</v>
      </c>
      <c r="G294" s="2">
        <v>99</v>
      </c>
      <c r="H294" s="9">
        <v>127</v>
      </c>
    </row>
    <row r="295" spans="2:8" x14ac:dyDescent="0.25">
      <c r="B295" s="3">
        <v>44607</v>
      </c>
      <c r="C295" s="2" t="s">
        <v>22</v>
      </c>
      <c r="D295" s="2" t="s">
        <v>12</v>
      </c>
      <c r="E295" s="2" t="s">
        <v>13</v>
      </c>
      <c r="F295" s="2" t="s">
        <v>14</v>
      </c>
      <c r="G295" s="2">
        <v>56</v>
      </c>
      <c r="H295" s="9">
        <v>116</v>
      </c>
    </row>
    <row r="296" spans="2:8" x14ac:dyDescent="0.25">
      <c r="B296" s="3">
        <v>44607</v>
      </c>
      <c r="C296" s="2" t="s">
        <v>27</v>
      </c>
      <c r="D296" s="2" t="s">
        <v>18</v>
      </c>
      <c r="E296" s="2" t="s">
        <v>13</v>
      </c>
      <c r="F296" s="2" t="s">
        <v>10</v>
      </c>
      <c r="G296" s="2">
        <v>35</v>
      </c>
      <c r="H296" s="9">
        <v>65</v>
      </c>
    </row>
    <row r="297" spans="2:8" x14ac:dyDescent="0.25">
      <c r="B297" s="3">
        <v>44607</v>
      </c>
      <c r="C297" s="2" t="s">
        <v>22</v>
      </c>
      <c r="D297" s="2" t="s">
        <v>12</v>
      </c>
      <c r="E297" s="2" t="s">
        <v>13</v>
      </c>
      <c r="F297" s="2" t="s">
        <v>16</v>
      </c>
      <c r="G297" s="2">
        <v>77</v>
      </c>
      <c r="H297" s="9">
        <v>36</v>
      </c>
    </row>
    <row r="298" spans="2:8" x14ac:dyDescent="0.25">
      <c r="B298" s="3">
        <v>44607</v>
      </c>
      <c r="C298" s="2" t="s">
        <v>19</v>
      </c>
      <c r="D298" s="2" t="s">
        <v>12</v>
      </c>
      <c r="E298" s="2" t="s">
        <v>9</v>
      </c>
      <c r="F298" s="2" t="s">
        <v>10</v>
      </c>
      <c r="G298" s="2">
        <v>91</v>
      </c>
      <c r="H298" s="9">
        <v>42</v>
      </c>
    </row>
    <row r="299" spans="2:8" x14ac:dyDescent="0.25">
      <c r="B299" s="3">
        <v>44607</v>
      </c>
      <c r="C299" s="2" t="s">
        <v>21</v>
      </c>
      <c r="D299" s="2" t="s">
        <v>8</v>
      </c>
      <c r="E299" s="2" t="s">
        <v>9</v>
      </c>
      <c r="F299" s="2" t="s">
        <v>10</v>
      </c>
      <c r="G299" s="2">
        <v>36</v>
      </c>
      <c r="H299" s="9">
        <v>94</v>
      </c>
    </row>
    <row r="300" spans="2:8" x14ac:dyDescent="0.25">
      <c r="B300" s="3">
        <v>44608</v>
      </c>
      <c r="C300" s="2" t="s">
        <v>24</v>
      </c>
      <c r="D300" s="2" t="s">
        <v>18</v>
      </c>
      <c r="E300" s="2" t="s">
        <v>13</v>
      </c>
      <c r="F300" s="2" t="s">
        <v>16</v>
      </c>
      <c r="G300" s="2">
        <v>42</v>
      </c>
      <c r="H300" s="9">
        <v>128</v>
      </c>
    </row>
    <row r="301" spans="2:8" x14ac:dyDescent="0.25">
      <c r="B301" s="3">
        <v>44608</v>
      </c>
      <c r="C301" s="2" t="s">
        <v>26</v>
      </c>
      <c r="D301" s="2" t="s">
        <v>12</v>
      </c>
      <c r="E301" s="2" t="s">
        <v>9</v>
      </c>
      <c r="F301" s="2" t="s">
        <v>10</v>
      </c>
      <c r="G301" s="2">
        <v>42</v>
      </c>
      <c r="H301" s="9">
        <v>28</v>
      </c>
    </row>
    <row r="302" spans="2:8" x14ac:dyDescent="0.25">
      <c r="B302" s="3">
        <v>44608</v>
      </c>
      <c r="C302" s="2" t="s">
        <v>19</v>
      </c>
      <c r="D302" s="2" t="s">
        <v>12</v>
      </c>
      <c r="E302" s="2" t="s">
        <v>13</v>
      </c>
      <c r="F302" s="2" t="s">
        <v>16</v>
      </c>
      <c r="G302" s="2">
        <v>78</v>
      </c>
      <c r="H302" s="9">
        <v>109</v>
      </c>
    </row>
    <row r="303" spans="2:8" x14ac:dyDescent="0.25">
      <c r="B303" s="3">
        <v>44608</v>
      </c>
      <c r="C303" s="2" t="s">
        <v>26</v>
      </c>
      <c r="D303" s="2" t="s">
        <v>12</v>
      </c>
      <c r="E303" s="2" t="s">
        <v>9</v>
      </c>
      <c r="F303" s="2" t="s">
        <v>16</v>
      </c>
      <c r="G303" s="2">
        <v>30</v>
      </c>
      <c r="H303" s="9">
        <v>48</v>
      </c>
    </row>
    <row r="304" spans="2:8" x14ac:dyDescent="0.25">
      <c r="B304" s="3">
        <v>44608</v>
      </c>
      <c r="C304" s="2" t="s">
        <v>28</v>
      </c>
      <c r="D304" s="2" t="s">
        <v>8</v>
      </c>
      <c r="E304" s="2" t="s">
        <v>13</v>
      </c>
      <c r="F304" s="2" t="s">
        <v>16</v>
      </c>
      <c r="G304" s="2">
        <v>73</v>
      </c>
      <c r="H304" s="9">
        <v>76</v>
      </c>
    </row>
    <row r="305" spans="2:8" x14ac:dyDescent="0.25">
      <c r="B305" s="3">
        <v>44609</v>
      </c>
      <c r="C305" s="2" t="s">
        <v>24</v>
      </c>
      <c r="D305" s="2" t="s">
        <v>18</v>
      </c>
      <c r="E305" s="2" t="s">
        <v>9</v>
      </c>
      <c r="F305" s="2" t="s">
        <v>14</v>
      </c>
      <c r="G305" s="2">
        <v>80</v>
      </c>
      <c r="H305" s="9">
        <v>117</v>
      </c>
    </row>
    <row r="306" spans="2:8" x14ac:dyDescent="0.25">
      <c r="B306" s="3">
        <v>44609</v>
      </c>
      <c r="C306" s="2" t="s">
        <v>26</v>
      </c>
      <c r="D306" s="2" t="s">
        <v>12</v>
      </c>
      <c r="E306" s="2" t="s">
        <v>9</v>
      </c>
      <c r="F306" s="2" t="s">
        <v>14</v>
      </c>
      <c r="G306" s="2">
        <v>34</v>
      </c>
      <c r="H306" s="9">
        <v>50</v>
      </c>
    </row>
    <row r="307" spans="2:8" x14ac:dyDescent="0.25">
      <c r="B307" s="3">
        <v>44609</v>
      </c>
      <c r="C307" s="2" t="s">
        <v>24</v>
      </c>
      <c r="D307" s="2" t="s">
        <v>18</v>
      </c>
      <c r="E307" s="2" t="s">
        <v>9</v>
      </c>
      <c r="F307" s="2" t="s">
        <v>10</v>
      </c>
      <c r="G307" s="2">
        <v>60</v>
      </c>
      <c r="H307" s="9">
        <v>97</v>
      </c>
    </row>
    <row r="308" spans="2:8" x14ac:dyDescent="0.25">
      <c r="B308" s="3">
        <v>44609</v>
      </c>
      <c r="C308" s="2" t="s">
        <v>25</v>
      </c>
      <c r="D308" s="2" t="s">
        <v>12</v>
      </c>
      <c r="E308" s="2" t="s">
        <v>9</v>
      </c>
      <c r="F308" s="2" t="s">
        <v>14</v>
      </c>
      <c r="G308" s="2">
        <v>74</v>
      </c>
      <c r="H308" s="9">
        <v>38</v>
      </c>
    </row>
    <row r="309" spans="2:8" x14ac:dyDescent="0.25">
      <c r="B309" s="3">
        <v>44610</v>
      </c>
      <c r="C309" s="2" t="s">
        <v>24</v>
      </c>
      <c r="D309" s="2" t="s">
        <v>18</v>
      </c>
      <c r="E309" s="2" t="s">
        <v>9</v>
      </c>
      <c r="F309" s="2" t="s">
        <v>14</v>
      </c>
      <c r="G309" s="2">
        <v>77</v>
      </c>
      <c r="H309" s="9">
        <v>26</v>
      </c>
    </row>
    <row r="310" spans="2:8" x14ac:dyDescent="0.25">
      <c r="B310" s="3">
        <v>44610</v>
      </c>
      <c r="C310" s="2" t="s">
        <v>25</v>
      </c>
      <c r="D310" s="2" t="s">
        <v>12</v>
      </c>
      <c r="E310" s="2" t="s">
        <v>13</v>
      </c>
      <c r="F310" s="2" t="s">
        <v>10</v>
      </c>
      <c r="G310" s="2">
        <v>13</v>
      </c>
      <c r="H310" s="9">
        <v>130</v>
      </c>
    </row>
    <row r="311" spans="2:8" x14ac:dyDescent="0.25">
      <c r="B311" s="3">
        <v>44610</v>
      </c>
      <c r="C311" s="2" t="s">
        <v>24</v>
      </c>
      <c r="D311" s="2" t="s">
        <v>18</v>
      </c>
      <c r="E311" s="2" t="s">
        <v>13</v>
      </c>
      <c r="F311" s="2" t="s">
        <v>14</v>
      </c>
      <c r="G311" s="2">
        <v>41</v>
      </c>
      <c r="H311" s="9">
        <v>99</v>
      </c>
    </row>
    <row r="312" spans="2:8" x14ac:dyDescent="0.25">
      <c r="B312" s="3">
        <v>44610</v>
      </c>
      <c r="C312" s="2" t="s">
        <v>26</v>
      </c>
      <c r="D312" s="2" t="s">
        <v>12</v>
      </c>
      <c r="E312" s="2" t="s">
        <v>13</v>
      </c>
      <c r="F312" s="2" t="s">
        <v>16</v>
      </c>
      <c r="G312" s="2">
        <v>83</v>
      </c>
      <c r="H312" s="9">
        <v>30</v>
      </c>
    </row>
    <row r="313" spans="2:8" x14ac:dyDescent="0.25">
      <c r="B313" s="3">
        <v>44610</v>
      </c>
      <c r="C313" s="2" t="s">
        <v>20</v>
      </c>
      <c r="D313" s="2" t="s">
        <v>8</v>
      </c>
      <c r="E313" s="2" t="s">
        <v>9</v>
      </c>
      <c r="F313" s="2" t="s">
        <v>10</v>
      </c>
      <c r="G313" s="2">
        <v>89</v>
      </c>
      <c r="H313" s="9">
        <v>23</v>
      </c>
    </row>
    <row r="314" spans="2:8" x14ac:dyDescent="0.25">
      <c r="B314" s="3">
        <v>44610</v>
      </c>
      <c r="C314" s="2" t="s">
        <v>26</v>
      </c>
      <c r="D314" s="2" t="s">
        <v>12</v>
      </c>
      <c r="E314" s="2" t="s">
        <v>9</v>
      </c>
      <c r="F314" s="2" t="s">
        <v>14</v>
      </c>
      <c r="G314" s="2">
        <v>59</v>
      </c>
      <c r="H314" s="9">
        <v>98</v>
      </c>
    </row>
    <row r="315" spans="2:8" x14ac:dyDescent="0.25">
      <c r="B315" s="3">
        <v>44610</v>
      </c>
      <c r="C315" s="2" t="s">
        <v>26</v>
      </c>
      <c r="D315" s="2" t="s">
        <v>12</v>
      </c>
      <c r="E315" s="2" t="s">
        <v>9</v>
      </c>
      <c r="F315" s="2" t="s">
        <v>10</v>
      </c>
      <c r="G315" s="2">
        <v>91</v>
      </c>
      <c r="H315" s="9">
        <v>52</v>
      </c>
    </row>
    <row r="316" spans="2:8" x14ac:dyDescent="0.25">
      <c r="B316" s="3">
        <v>44610</v>
      </c>
      <c r="C316" s="2" t="s">
        <v>22</v>
      </c>
      <c r="D316" s="2" t="s">
        <v>12</v>
      </c>
      <c r="E316" s="2" t="s">
        <v>9</v>
      </c>
      <c r="F316" s="2" t="s">
        <v>10</v>
      </c>
      <c r="G316" s="2">
        <v>48</v>
      </c>
      <c r="H316" s="9">
        <v>36</v>
      </c>
    </row>
    <row r="317" spans="2:8" x14ac:dyDescent="0.25">
      <c r="B317" s="3">
        <v>44610</v>
      </c>
      <c r="C317" s="2" t="s">
        <v>26</v>
      </c>
      <c r="D317" s="2" t="s">
        <v>12</v>
      </c>
      <c r="E317" s="2" t="s">
        <v>9</v>
      </c>
      <c r="F317" s="2" t="s">
        <v>10</v>
      </c>
      <c r="G317" s="2">
        <v>36</v>
      </c>
      <c r="H317" s="9">
        <v>134</v>
      </c>
    </row>
    <row r="318" spans="2:8" x14ac:dyDescent="0.25">
      <c r="B318" s="3">
        <v>44610</v>
      </c>
      <c r="C318" s="2" t="s">
        <v>24</v>
      </c>
      <c r="D318" s="2" t="s">
        <v>18</v>
      </c>
      <c r="E318" s="2" t="s">
        <v>13</v>
      </c>
      <c r="F318" s="2" t="s">
        <v>16</v>
      </c>
      <c r="G318" s="2">
        <v>25</v>
      </c>
      <c r="H318" s="9">
        <v>107</v>
      </c>
    </row>
    <row r="319" spans="2:8" x14ac:dyDescent="0.25">
      <c r="B319" s="3">
        <v>44610</v>
      </c>
      <c r="C319" s="2" t="s">
        <v>11</v>
      </c>
      <c r="D319" s="2" t="s">
        <v>12</v>
      </c>
      <c r="E319" s="2" t="s">
        <v>9</v>
      </c>
      <c r="F319" s="2" t="s">
        <v>16</v>
      </c>
      <c r="G319" s="2">
        <v>26</v>
      </c>
      <c r="H319" s="9">
        <v>108</v>
      </c>
    </row>
    <row r="320" spans="2:8" x14ac:dyDescent="0.25">
      <c r="B320" s="3">
        <v>44610</v>
      </c>
      <c r="C320" s="2" t="s">
        <v>22</v>
      </c>
      <c r="D320" s="2" t="s">
        <v>12</v>
      </c>
      <c r="E320" s="2" t="s">
        <v>9</v>
      </c>
      <c r="F320" s="2" t="s">
        <v>10</v>
      </c>
      <c r="G320" s="2">
        <v>39</v>
      </c>
      <c r="H320" s="9">
        <v>56</v>
      </c>
    </row>
    <row r="321" spans="2:8" x14ac:dyDescent="0.25">
      <c r="B321" s="3">
        <v>44610</v>
      </c>
      <c r="C321" s="2" t="s">
        <v>11</v>
      </c>
      <c r="D321" s="2" t="s">
        <v>12</v>
      </c>
      <c r="E321" s="2" t="s">
        <v>13</v>
      </c>
      <c r="F321" s="2" t="s">
        <v>16</v>
      </c>
      <c r="G321" s="2">
        <v>75</v>
      </c>
      <c r="H321" s="9">
        <v>121</v>
      </c>
    </row>
    <row r="322" spans="2:8" x14ac:dyDescent="0.25">
      <c r="B322" s="3">
        <v>44611</v>
      </c>
      <c r="C322" s="2" t="s">
        <v>23</v>
      </c>
      <c r="D322" s="2" t="s">
        <v>18</v>
      </c>
      <c r="E322" s="2" t="s">
        <v>13</v>
      </c>
      <c r="F322" s="2" t="s">
        <v>14</v>
      </c>
      <c r="G322" s="2">
        <v>44</v>
      </c>
      <c r="H322" s="9">
        <v>106</v>
      </c>
    </row>
    <row r="323" spans="2:8" x14ac:dyDescent="0.25">
      <c r="B323" s="3">
        <v>44611</v>
      </c>
      <c r="C323" s="2" t="s">
        <v>24</v>
      </c>
      <c r="D323" s="2" t="s">
        <v>18</v>
      </c>
      <c r="E323" s="2" t="s">
        <v>13</v>
      </c>
      <c r="F323" s="2" t="s">
        <v>16</v>
      </c>
      <c r="G323" s="2">
        <v>58</v>
      </c>
      <c r="H323" s="9">
        <v>150</v>
      </c>
    </row>
    <row r="324" spans="2:8" x14ac:dyDescent="0.25">
      <c r="B324" s="3">
        <v>44611</v>
      </c>
      <c r="C324" s="2" t="s">
        <v>24</v>
      </c>
      <c r="D324" s="2" t="s">
        <v>18</v>
      </c>
      <c r="E324" s="2" t="s">
        <v>9</v>
      </c>
      <c r="F324" s="2" t="s">
        <v>14</v>
      </c>
      <c r="G324" s="2">
        <v>68</v>
      </c>
      <c r="H324" s="9">
        <v>102</v>
      </c>
    </row>
    <row r="325" spans="2:8" x14ac:dyDescent="0.25">
      <c r="B325" s="3">
        <v>44611</v>
      </c>
      <c r="C325" s="2" t="s">
        <v>29</v>
      </c>
      <c r="D325" s="2" t="s">
        <v>18</v>
      </c>
      <c r="E325" s="2" t="s">
        <v>13</v>
      </c>
      <c r="F325" s="2" t="s">
        <v>14</v>
      </c>
      <c r="G325" s="2">
        <v>70</v>
      </c>
      <c r="H325" s="9">
        <v>140</v>
      </c>
    </row>
    <row r="326" spans="2:8" x14ac:dyDescent="0.25">
      <c r="B326" s="3">
        <v>44611</v>
      </c>
      <c r="C326" s="2" t="s">
        <v>15</v>
      </c>
      <c r="D326" s="2" t="s">
        <v>8</v>
      </c>
      <c r="E326" s="2" t="s">
        <v>13</v>
      </c>
      <c r="F326" s="2" t="s">
        <v>16</v>
      </c>
      <c r="G326" s="2">
        <v>67</v>
      </c>
      <c r="H326" s="9">
        <v>36</v>
      </c>
    </row>
    <row r="327" spans="2:8" x14ac:dyDescent="0.25">
      <c r="B327" s="3">
        <v>44611</v>
      </c>
      <c r="C327" s="2" t="s">
        <v>24</v>
      </c>
      <c r="D327" s="2" t="s">
        <v>18</v>
      </c>
      <c r="E327" s="2" t="s">
        <v>9</v>
      </c>
      <c r="F327" s="2" t="s">
        <v>14</v>
      </c>
      <c r="G327" s="2">
        <v>94</v>
      </c>
      <c r="H327" s="9">
        <v>76</v>
      </c>
    </row>
    <row r="328" spans="2:8" x14ac:dyDescent="0.25">
      <c r="B328" s="3">
        <v>44612</v>
      </c>
      <c r="C328" s="2" t="s">
        <v>15</v>
      </c>
      <c r="D328" s="2" t="s">
        <v>8</v>
      </c>
      <c r="E328" s="2" t="s">
        <v>9</v>
      </c>
      <c r="F328" s="2" t="s">
        <v>16</v>
      </c>
      <c r="G328" s="2">
        <v>91</v>
      </c>
      <c r="H328" s="9">
        <v>104</v>
      </c>
    </row>
    <row r="329" spans="2:8" x14ac:dyDescent="0.25">
      <c r="B329" s="3">
        <v>44612</v>
      </c>
      <c r="C329" s="2" t="s">
        <v>27</v>
      </c>
      <c r="D329" s="2" t="s">
        <v>18</v>
      </c>
      <c r="E329" s="2" t="s">
        <v>9</v>
      </c>
      <c r="F329" s="2" t="s">
        <v>10</v>
      </c>
      <c r="G329" s="2">
        <v>63</v>
      </c>
      <c r="H329" s="9">
        <v>93</v>
      </c>
    </row>
    <row r="330" spans="2:8" x14ac:dyDescent="0.25">
      <c r="B330" s="3">
        <v>44612</v>
      </c>
      <c r="C330" s="2" t="s">
        <v>26</v>
      </c>
      <c r="D330" s="2" t="s">
        <v>12</v>
      </c>
      <c r="E330" s="2" t="s">
        <v>9</v>
      </c>
      <c r="F330" s="2" t="s">
        <v>14</v>
      </c>
      <c r="G330" s="2">
        <v>29</v>
      </c>
      <c r="H330" s="9">
        <v>129</v>
      </c>
    </row>
    <row r="331" spans="2:8" x14ac:dyDescent="0.25">
      <c r="B331" s="3">
        <v>44612</v>
      </c>
      <c r="C331" s="2" t="s">
        <v>17</v>
      </c>
      <c r="D331" s="2" t="s">
        <v>18</v>
      </c>
      <c r="E331" s="2" t="s">
        <v>13</v>
      </c>
      <c r="F331" s="2" t="s">
        <v>16</v>
      </c>
      <c r="G331" s="2">
        <v>31</v>
      </c>
      <c r="H331" s="9">
        <v>82</v>
      </c>
    </row>
    <row r="332" spans="2:8" x14ac:dyDescent="0.25">
      <c r="B332" s="3">
        <v>44612</v>
      </c>
      <c r="C332" s="2" t="s">
        <v>28</v>
      </c>
      <c r="D332" s="2" t="s">
        <v>8</v>
      </c>
      <c r="E332" s="2" t="s">
        <v>9</v>
      </c>
      <c r="F332" s="2" t="s">
        <v>10</v>
      </c>
      <c r="G332" s="2">
        <v>21</v>
      </c>
      <c r="H332" s="9">
        <v>109</v>
      </c>
    </row>
    <row r="333" spans="2:8" x14ac:dyDescent="0.25">
      <c r="B333" s="3">
        <v>44612</v>
      </c>
      <c r="C333" s="2" t="s">
        <v>15</v>
      </c>
      <c r="D333" s="2" t="s">
        <v>8</v>
      </c>
      <c r="E333" s="2" t="s">
        <v>13</v>
      </c>
      <c r="F333" s="2" t="s">
        <v>10</v>
      </c>
      <c r="G333" s="2">
        <v>86</v>
      </c>
      <c r="H333" s="9">
        <v>37</v>
      </c>
    </row>
    <row r="334" spans="2:8" x14ac:dyDescent="0.25">
      <c r="B334" s="3">
        <v>44613</v>
      </c>
      <c r="C334" s="2" t="s">
        <v>27</v>
      </c>
      <c r="D334" s="2" t="s">
        <v>18</v>
      </c>
      <c r="E334" s="2" t="s">
        <v>13</v>
      </c>
      <c r="F334" s="2" t="s">
        <v>14</v>
      </c>
      <c r="G334" s="2">
        <v>30</v>
      </c>
      <c r="H334" s="9">
        <v>108</v>
      </c>
    </row>
    <row r="335" spans="2:8" x14ac:dyDescent="0.25">
      <c r="B335" s="3">
        <v>44613</v>
      </c>
      <c r="C335" s="2" t="s">
        <v>23</v>
      </c>
      <c r="D335" s="2" t="s">
        <v>18</v>
      </c>
      <c r="E335" s="2" t="s">
        <v>9</v>
      </c>
      <c r="F335" s="2" t="s">
        <v>10</v>
      </c>
      <c r="G335" s="2">
        <v>21</v>
      </c>
      <c r="H335" s="9">
        <v>86</v>
      </c>
    </row>
    <row r="336" spans="2:8" x14ac:dyDescent="0.25">
      <c r="B336" s="3">
        <v>44613</v>
      </c>
      <c r="C336" s="2" t="s">
        <v>24</v>
      </c>
      <c r="D336" s="2" t="s">
        <v>18</v>
      </c>
      <c r="E336" s="2" t="s">
        <v>13</v>
      </c>
      <c r="F336" s="2" t="s">
        <v>16</v>
      </c>
      <c r="G336" s="2">
        <v>18</v>
      </c>
      <c r="H336" s="9">
        <v>51</v>
      </c>
    </row>
    <row r="337" spans="2:8" x14ac:dyDescent="0.25">
      <c r="B337" s="3">
        <v>44613</v>
      </c>
      <c r="C337" s="2" t="s">
        <v>21</v>
      </c>
      <c r="D337" s="2" t="s">
        <v>8</v>
      </c>
      <c r="E337" s="2" t="s">
        <v>13</v>
      </c>
      <c r="F337" s="2" t="s">
        <v>16</v>
      </c>
      <c r="G337" s="2">
        <v>47</v>
      </c>
      <c r="H337" s="9">
        <v>42</v>
      </c>
    </row>
    <row r="338" spans="2:8" x14ac:dyDescent="0.25">
      <c r="B338" s="3">
        <v>44613</v>
      </c>
      <c r="C338" s="2" t="s">
        <v>28</v>
      </c>
      <c r="D338" s="2" t="s">
        <v>8</v>
      </c>
      <c r="E338" s="2" t="s">
        <v>9</v>
      </c>
      <c r="F338" s="2" t="s">
        <v>14</v>
      </c>
      <c r="G338" s="2">
        <v>78</v>
      </c>
      <c r="H338" s="9">
        <v>87</v>
      </c>
    </row>
    <row r="339" spans="2:8" x14ac:dyDescent="0.25">
      <c r="B339" s="3">
        <v>44613</v>
      </c>
      <c r="C339" s="2" t="s">
        <v>27</v>
      </c>
      <c r="D339" s="2" t="s">
        <v>18</v>
      </c>
      <c r="E339" s="2" t="s">
        <v>13</v>
      </c>
      <c r="F339" s="2" t="s">
        <v>10</v>
      </c>
      <c r="G339" s="2">
        <v>95</v>
      </c>
      <c r="H339" s="9">
        <v>29</v>
      </c>
    </row>
    <row r="340" spans="2:8" x14ac:dyDescent="0.25">
      <c r="B340" s="3">
        <v>44614</v>
      </c>
      <c r="C340" s="2" t="s">
        <v>22</v>
      </c>
      <c r="D340" s="2" t="s">
        <v>12</v>
      </c>
      <c r="E340" s="2" t="s">
        <v>13</v>
      </c>
      <c r="F340" s="2" t="s">
        <v>16</v>
      </c>
      <c r="G340" s="2">
        <v>87</v>
      </c>
      <c r="H340" s="9">
        <v>66</v>
      </c>
    </row>
    <row r="341" spans="2:8" x14ac:dyDescent="0.25">
      <c r="B341" s="3">
        <v>44614</v>
      </c>
      <c r="C341" s="2" t="s">
        <v>28</v>
      </c>
      <c r="D341" s="2" t="s">
        <v>8</v>
      </c>
      <c r="E341" s="2" t="s">
        <v>13</v>
      </c>
      <c r="F341" s="2" t="s">
        <v>10</v>
      </c>
      <c r="G341" s="2">
        <v>77</v>
      </c>
      <c r="H341" s="9">
        <v>128</v>
      </c>
    </row>
    <row r="342" spans="2:8" x14ac:dyDescent="0.25">
      <c r="B342" s="3">
        <v>44614</v>
      </c>
      <c r="C342" s="2" t="s">
        <v>24</v>
      </c>
      <c r="D342" s="2" t="s">
        <v>18</v>
      </c>
      <c r="E342" s="2" t="s">
        <v>9</v>
      </c>
      <c r="F342" s="2" t="s">
        <v>10</v>
      </c>
      <c r="G342" s="2">
        <v>52</v>
      </c>
      <c r="H342" s="9">
        <v>91</v>
      </c>
    </row>
    <row r="343" spans="2:8" x14ac:dyDescent="0.25">
      <c r="B343" s="3">
        <v>44614</v>
      </c>
      <c r="C343" s="2" t="s">
        <v>21</v>
      </c>
      <c r="D343" s="2" t="s">
        <v>8</v>
      </c>
      <c r="E343" s="2" t="s">
        <v>9</v>
      </c>
      <c r="F343" s="2" t="s">
        <v>16</v>
      </c>
      <c r="G343" s="2">
        <v>93</v>
      </c>
      <c r="H343" s="9">
        <v>89</v>
      </c>
    </row>
    <row r="344" spans="2:8" x14ac:dyDescent="0.25">
      <c r="B344" s="3">
        <v>44614</v>
      </c>
      <c r="C344" s="2" t="s">
        <v>22</v>
      </c>
      <c r="D344" s="2" t="s">
        <v>12</v>
      </c>
      <c r="E344" s="2" t="s">
        <v>9</v>
      </c>
      <c r="F344" s="2" t="s">
        <v>14</v>
      </c>
      <c r="G344" s="2">
        <v>41</v>
      </c>
      <c r="H344" s="9">
        <v>131</v>
      </c>
    </row>
    <row r="345" spans="2:8" x14ac:dyDescent="0.25">
      <c r="B345" s="3">
        <v>44615</v>
      </c>
      <c r="C345" s="2" t="s">
        <v>25</v>
      </c>
      <c r="D345" s="2" t="s">
        <v>12</v>
      </c>
      <c r="E345" s="2" t="s">
        <v>13</v>
      </c>
      <c r="F345" s="2" t="s">
        <v>10</v>
      </c>
      <c r="G345" s="2">
        <v>83</v>
      </c>
      <c r="H345" s="9">
        <v>30</v>
      </c>
    </row>
    <row r="346" spans="2:8" x14ac:dyDescent="0.25">
      <c r="B346" s="3">
        <v>44615</v>
      </c>
      <c r="C346" s="2" t="s">
        <v>28</v>
      </c>
      <c r="D346" s="2" t="s">
        <v>8</v>
      </c>
      <c r="E346" s="2" t="s">
        <v>13</v>
      </c>
      <c r="F346" s="2" t="s">
        <v>14</v>
      </c>
      <c r="G346" s="2">
        <v>96</v>
      </c>
      <c r="H346" s="9">
        <v>118</v>
      </c>
    </row>
    <row r="347" spans="2:8" x14ac:dyDescent="0.25">
      <c r="B347" s="3">
        <v>44615</v>
      </c>
      <c r="C347" s="2" t="s">
        <v>23</v>
      </c>
      <c r="D347" s="2" t="s">
        <v>18</v>
      </c>
      <c r="E347" s="2" t="s">
        <v>13</v>
      </c>
      <c r="F347" s="2" t="s">
        <v>10</v>
      </c>
      <c r="G347" s="2">
        <v>30</v>
      </c>
      <c r="H347" s="9">
        <v>101</v>
      </c>
    </row>
    <row r="348" spans="2:8" x14ac:dyDescent="0.25">
      <c r="B348" s="3">
        <v>44615</v>
      </c>
      <c r="C348" s="2" t="s">
        <v>29</v>
      </c>
      <c r="D348" s="2" t="s">
        <v>18</v>
      </c>
      <c r="E348" s="2" t="s">
        <v>13</v>
      </c>
      <c r="F348" s="2" t="s">
        <v>10</v>
      </c>
      <c r="G348" s="2">
        <v>23</v>
      </c>
      <c r="H348" s="9">
        <v>33</v>
      </c>
    </row>
    <row r="349" spans="2:8" x14ac:dyDescent="0.25">
      <c r="B349" s="3">
        <v>44615</v>
      </c>
      <c r="C349" s="2" t="s">
        <v>17</v>
      </c>
      <c r="D349" s="2" t="s">
        <v>18</v>
      </c>
      <c r="E349" s="2" t="s">
        <v>9</v>
      </c>
      <c r="F349" s="2" t="s">
        <v>16</v>
      </c>
      <c r="G349" s="2">
        <v>68</v>
      </c>
      <c r="H349" s="9">
        <v>88</v>
      </c>
    </row>
    <row r="350" spans="2:8" x14ac:dyDescent="0.25">
      <c r="B350" s="3">
        <v>44615</v>
      </c>
      <c r="C350" s="2" t="s">
        <v>24</v>
      </c>
      <c r="D350" s="2" t="s">
        <v>18</v>
      </c>
      <c r="E350" s="2" t="s">
        <v>9</v>
      </c>
      <c r="F350" s="2" t="s">
        <v>16</v>
      </c>
      <c r="G350" s="2">
        <v>98</v>
      </c>
      <c r="H350" s="9">
        <v>127</v>
      </c>
    </row>
    <row r="351" spans="2:8" x14ac:dyDescent="0.25">
      <c r="B351" s="3">
        <v>44615</v>
      </c>
      <c r="C351" s="2" t="s">
        <v>22</v>
      </c>
      <c r="D351" s="2" t="s">
        <v>12</v>
      </c>
      <c r="E351" s="2" t="s">
        <v>13</v>
      </c>
      <c r="F351" s="2" t="s">
        <v>16</v>
      </c>
      <c r="G351" s="2">
        <v>16</v>
      </c>
      <c r="H351" s="9">
        <v>69</v>
      </c>
    </row>
    <row r="352" spans="2:8" x14ac:dyDescent="0.25">
      <c r="B352" s="3">
        <v>44615</v>
      </c>
      <c r="C352" s="2" t="s">
        <v>28</v>
      </c>
      <c r="D352" s="2" t="s">
        <v>8</v>
      </c>
      <c r="E352" s="2" t="s">
        <v>9</v>
      </c>
      <c r="F352" s="2" t="s">
        <v>14</v>
      </c>
      <c r="G352" s="2">
        <v>46</v>
      </c>
      <c r="H352" s="9">
        <v>98</v>
      </c>
    </row>
    <row r="353" spans="2:8" x14ac:dyDescent="0.25">
      <c r="B353" s="3">
        <v>44616</v>
      </c>
      <c r="C353" s="2" t="s">
        <v>11</v>
      </c>
      <c r="D353" s="2" t="s">
        <v>12</v>
      </c>
      <c r="E353" s="2" t="s">
        <v>9</v>
      </c>
      <c r="F353" s="2" t="s">
        <v>14</v>
      </c>
      <c r="G353" s="2">
        <v>65</v>
      </c>
      <c r="H353" s="9">
        <v>98</v>
      </c>
    </row>
    <row r="354" spans="2:8" x14ac:dyDescent="0.25">
      <c r="B354" s="3">
        <v>44616</v>
      </c>
      <c r="C354" s="2" t="s">
        <v>26</v>
      </c>
      <c r="D354" s="2" t="s">
        <v>12</v>
      </c>
      <c r="E354" s="2" t="s">
        <v>9</v>
      </c>
      <c r="F354" s="2" t="s">
        <v>16</v>
      </c>
      <c r="G354" s="2">
        <v>42</v>
      </c>
      <c r="H354" s="9">
        <v>117</v>
      </c>
    </row>
    <row r="355" spans="2:8" x14ac:dyDescent="0.25">
      <c r="B355" s="3">
        <v>44616</v>
      </c>
      <c r="C355" s="2" t="s">
        <v>25</v>
      </c>
      <c r="D355" s="2" t="s">
        <v>12</v>
      </c>
      <c r="E355" s="2" t="s">
        <v>9</v>
      </c>
      <c r="F355" s="2" t="s">
        <v>14</v>
      </c>
      <c r="G355" s="2">
        <v>96</v>
      </c>
      <c r="H355" s="9">
        <v>126</v>
      </c>
    </row>
    <row r="356" spans="2:8" x14ac:dyDescent="0.25">
      <c r="B356" s="3">
        <v>44616</v>
      </c>
      <c r="C356" s="2" t="s">
        <v>29</v>
      </c>
      <c r="D356" s="2" t="s">
        <v>18</v>
      </c>
      <c r="E356" s="2" t="s">
        <v>13</v>
      </c>
      <c r="F356" s="2" t="s">
        <v>10</v>
      </c>
      <c r="G356" s="2">
        <v>96</v>
      </c>
      <c r="H356" s="9">
        <v>88</v>
      </c>
    </row>
    <row r="357" spans="2:8" x14ac:dyDescent="0.25">
      <c r="B357" s="3">
        <v>44616</v>
      </c>
      <c r="C357" s="2" t="s">
        <v>11</v>
      </c>
      <c r="D357" s="2" t="s">
        <v>12</v>
      </c>
      <c r="E357" s="2" t="s">
        <v>9</v>
      </c>
      <c r="F357" s="2" t="s">
        <v>14</v>
      </c>
      <c r="G357" s="2">
        <v>14</v>
      </c>
      <c r="H357" s="9">
        <v>97</v>
      </c>
    </row>
    <row r="358" spans="2:8" x14ac:dyDescent="0.25">
      <c r="B358" s="3">
        <v>44616</v>
      </c>
      <c r="C358" s="2" t="s">
        <v>25</v>
      </c>
      <c r="D358" s="2" t="s">
        <v>12</v>
      </c>
      <c r="E358" s="2" t="s">
        <v>9</v>
      </c>
      <c r="F358" s="2" t="s">
        <v>14</v>
      </c>
      <c r="G358" s="2">
        <v>83</v>
      </c>
      <c r="H358" s="9">
        <v>35</v>
      </c>
    </row>
    <row r="359" spans="2:8" x14ac:dyDescent="0.25">
      <c r="B359" s="3">
        <v>44617</v>
      </c>
      <c r="C359" s="2" t="s">
        <v>25</v>
      </c>
      <c r="D359" s="2" t="s">
        <v>12</v>
      </c>
      <c r="E359" s="2" t="s">
        <v>13</v>
      </c>
      <c r="F359" s="2" t="s">
        <v>16</v>
      </c>
      <c r="G359" s="2">
        <v>83</v>
      </c>
      <c r="H359" s="9">
        <v>78</v>
      </c>
    </row>
    <row r="360" spans="2:8" x14ac:dyDescent="0.25">
      <c r="B360" s="3">
        <v>44617</v>
      </c>
      <c r="C360" s="2" t="s">
        <v>22</v>
      </c>
      <c r="D360" s="2" t="s">
        <v>12</v>
      </c>
      <c r="E360" s="2" t="s">
        <v>9</v>
      </c>
      <c r="F360" s="2" t="s">
        <v>14</v>
      </c>
      <c r="G360" s="2">
        <v>63</v>
      </c>
      <c r="H360" s="9">
        <v>78</v>
      </c>
    </row>
    <row r="361" spans="2:8" x14ac:dyDescent="0.25">
      <c r="B361" s="3">
        <v>44617</v>
      </c>
      <c r="C361" s="2" t="s">
        <v>29</v>
      </c>
      <c r="D361" s="2" t="s">
        <v>18</v>
      </c>
      <c r="E361" s="2" t="s">
        <v>9</v>
      </c>
      <c r="F361" s="2" t="s">
        <v>16</v>
      </c>
      <c r="G361" s="2">
        <v>29</v>
      </c>
      <c r="H361" s="9">
        <v>58</v>
      </c>
    </row>
    <row r="362" spans="2:8" x14ac:dyDescent="0.25">
      <c r="B362" s="3">
        <v>44617</v>
      </c>
      <c r="C362" s="2" t="s">
        <v>29</v>
      </c>
      <c r="D362" s="2" t="s">
        <v>18</v>
      </c>
      <c r="E362" s="2" t="s">
        <v>9</v>
      </c>
      <c r="F362" s="2" t="s">
        <v>10</v>
      </c>
      <c r="G362" s="2">
        <v>85</v>
      </c>
      <c r="H362" s="9">
        <v>25</v>
      </c>
    </row>
    <row r="363" spans="2:8" x14ac:dyDescent="0.25">
      <c r="B363" s="3">
        <v>44617</v>
      </c>
      <c r="C363" s="2" t="s">
        <v>27</v>
      </c>
      <c r="D363" s="2" t="s">
        <v>18</v>
      </c>
      <c r="E363" s="2" t="s">
        <v>9</v>
      </c>
      <c r="F363" s="2" t="s">
        <v>16</v>
      </c>
      <c r="G363" s="2">
        <v>22</v>
      </c>
      <c r="H363" s="9">
        <v>77</v>
      </c>
    </row>
    <row r="364" spans="2:8" x14ac:dyDescent="0.25">
      <c r="B364" s="3">
        <v>44618</v>
      </c>
      <c r="C364" s="2" t="s">
        <v>19</v>
      </c>
      <c r="D364" s="2" t="s">
        <v>12</v>
      </c>
      <c r="E364" s="2" t="s">
        <v>9</v>
      </c>
      <c r="F364" s="2" t="s">
        <v>14</v>
      </c>
      <c r="G364" s="2">
        <v>21</v>
      </c>
      <c r="H364" s="9">
        <v>107</v>
      </c>
    </row>
    <row r="365" spans="2:8" x14ac:dyDescent="0.25">
      <c r="B365" s="3">
        <v>44618</v>
      </c>
      <c r="C365" s="2" t="s">
        <v>21</v>
      </c>
      <c r="D365" s="2" t="s">
        <v>8</v>
      </c>
      <c r="E365" s="2" t="s">
        <v>13</v>
      </c>
      <c r="F365" s="2" t="s">
        <v>14</v>
      </c>
      <c r="G365" s="2">
        <v>33</v>
      </c>
      <c r="H365" s="9">
        <v>50</v>
      </c>
    </row>
    <row r="366" spans="2:8" x14ac:dyDescent="0.25">
      <c r="B366" s="3">
        <v>44618</v>
      </c>
      <c r="C366" s="2" t="s">
        <v>11</v>
      </c>
      <c r="D366" s="2" t="s">
        <v>12</v>
      </c>
      <c r="E366" s="2" t="s">
        <v>9</v>
      </c>
      <c r="F366" s="2" t="s">
        <v>16</v>
      </c>
      <c r="G366" s="2">
        <v>62</v>
      </c>
      <c r="H366" s="9">
        <v>49</v>
      </c>
    </row>
    <row r="367" spans="2:8" x14ac:dyDescent="0.25">
      <c r="B367" s="3">
        <v>44618</v>
      </c>
      <c r="C367" s="2" t="s">
        <v>23</v>
      </c>
      <c r="D367" s="2" t="s">
        <v>18</v>
      </c>
      <c r="E367" s="2" t="s">
        <v>9</v>
      </c>
      <c r="F367" s="2" t="s">
        <v>10</v>
      </c>
      <c r="G367" s="2">
        <v>26</v>
      </c>
      <c r="H367" s="9">
        <v>69</v>
      </c>
    </row>
    <row r="368" spans="2:8" x14ac:dyDescent="0.25">
      <c r="B368" s="3">
        <v>44618</v>
      </c>
      <c r="C368" s="2" t="s">
        <v>26</v>
      </c>
      <c r="D368" s="2" t="s">
        <v>12</v>
      </c>
      <c r="E368" s="2" t="s">
        <v>13</v>
      </c>
      <c r="F368" s="2" t="s">
        <v>16</v>
      </c>
      <c r="G368" s="2">
        <v>43</v>
      </c>
      <c r="H368" s="9">
        <v>33</v>
      </c>
    </row>
    <row r="369" spans="2:8" x14ac:dyDescent="0.25">
      <c r="B369" s="3">
        <v>44618</v>
      </c>
      <c r="C369" s="2" t="s">
        <v>23</v>
      </c>
      <c r="D369" s="2" t="s">
        <v>18</v>
      </c>
      <c r="E369" s="2" t="s">
        <v>13</v>
      </c>
      <c r="F369" s="2" t="s">
        <v>16</v>
      </c>
      <c r="G369" s="2">
        <v>47</v>
      </c>
      <c r="H369" s="9">
        <v>45</v>
      </c>
    </row>
    <row r="370" spans="2:8" x14ac:dyDescent="0.25">
      <c r="B370" s="3">
        <v>44618</v>
      </c>
      <c r="C370" s="2" t="s">
        <v>15</v>
      </c>
      <c r="D370" s="2" t="s">
        <v>8</v>
      </c>
      <c r="E370" s="2" t="s">
        <v>9</v>
      </c>
      <c r="F370" s="2" t="s">
        <v>10</v>
      </c>
      <c r="G370" s="2">
        <v>80</v>
      </c>
      <c r="H370" s="9">
        <v>76</v>
      </c>
    </row>
    <row r="371" spans="2:8" x14ac:dyDescent="0.25">
      <c r="B371" s="3">
        <v>44619</v>
      </c>
      <c r="C371" s="2" t="s">
        <v>26</v>
      </c>
      <c r="D371" s="2" t="s">
        <v>12</v>
      </c>
      <c r="E371" s="2" t="s">
        <v>13</v>
      </c>
      <c r="F371" s="2" t="s">
        <v>16</v>
      </c>
      <c r="G371" s="2">
        <v>46</v>
      </c>
      <c r="H371" s="9">
        <v>86</v>
      </c>
    </row>
    <row r="372" spans="2:8" x14ac:dyDescent="0.25">
      <c r="B372" s="3">
        <v>44619</v>
      </c>
      <c r="C372" s="2" t="s">
        <v>23</v>
      </c>
      <c r="D372" s="2" t="s">
        <v>18</v>
      </c>
      <c r="E372" s="2" t="s">
        <v>13</v>
      </c>
      <c r="F372" s="2" t="s">
        <v>10</v>
      </c>
      <c r="G372" s="2">
        <v>24</v>
      </c>
      <c r="H372" s="9">
        <v>103</v>
      </c>
    </row>
    <row r="373" spans="2:8" x14ac:dyDescent="0.25">
      <c r="B373" s="3">
        <v>44619</v>
      </c>
      <c r="C373" s="2" t="s">
        <v>11</v>
      </c>
      <c r="D373" s="2" t="s">
        <v>12</v>
      </c>
      <c r="E373" s="2" t="s">
        <v>13</v>
      </c>
      <c r="F373" s="2" t="s">
        <v>14</v>
      </c>
      <c r="G373" s="2">
        <v>50</v>
      </c>
      <c r="H373" s="9">
        <v>81</v>
      </c>
    </row>
    <row r="374" spans="2:8" x14ac:dyDescent="0.25">
      <c r="B374" s="3">
        <v>44619</v>
      </c>
      <c r="C374" s="2" t="s">
        <v>19</v>
      </c>
      <c r="D374" s="2" t="s">
        <v>12</v>
      </c>
      <c r="E374" s="2" t="s">
        <v>13</v>
      </c>
      <c r="F374" s="2" t="s">
        <v>10</v>
      </c>
      <c r="G374" s="2">
        <v>38</v>
      </c>
      <c r="H374" s="9">
        <v>44</v>
      </c>
    </row>
    <row r="375" spans="2:8" x14ac:dyDescent="0.25">
      <c r="B375" s="3">
        <v>44619</v>
      </c>
      <c r="C375" s="2" t="s">
        <v>21</v>
      </c>
      <c r="D375" s="2" t="s">
        <v>8</v>
      </c>
      <c r="E375" s="2" t="s">
        <v>13</v>
      </c>
      <c r="F375" s="2" t="s">
        <v>10</v>
      </c>
      <c r="G375" s="2">
        <v>87</v>
      </c>
      <c r="H375" s="9">
        <v>108</v>
      </c>
    </row>
    <row r="376" spans="2:8" x14ac:dyDescent="0.25">
      <c r="B376" s="3">
        <v>44619</v>
      </c>
      <c r="C376" s="2" t="s">
        <v>22</v>
      </c>
      <c r="D376" s="2" t="s">
        <v>12</v>
      </c>
      <c r="E376" s="2" t="s">
        <v>13</v>
      </c>
      <c r="F376" s="2" t="s">
        <v>14</v>
      </c>
      <c r="G376" s="2">
        <v>73</v>
      </c>
      <c r="H376" s="9">
        <v>81</v>
      </c>
    </row>
    <row r="377" spans="2:8" x14ac:dyDescent="0.25">
      <c r="B377" s="3">
        <v>44619</v>
      </c>
      <c r="C377" s="2" t="s">
        <v>20</v>
      </c>
      <c r="D377" s="2" t="s">
        <v>8</v>
      </c>
      <c r="E377" s="2" t="s">
        <v>9</v>
      </c>
      <c r="F377" s="2" t="s">
        <v>16</v>
      </c>
      <c r="G377" s="2">
        <v>70</v>
      </c>
      <c r="H377" s="9">
        <v>110</v>
      </c>
    </row>
    <row r="378" spans="2:8" x14ac:dyDescent="0.25">
      <c r="B378" s="3">
        <v>44619</v>
      </c>
      <c r="C378" s="2" t="s">
        <v>20</v>
      </c>
      <c r="D378" s="2" t="s">
        <v>8</v>
      </c>
      <c r="E378" s="2" t="s">
        <v>13</v>
      </c>
      <c r="F378" s="2" t="s">
        <v>16</v>
      </c>
      <c r="G378" s="2">
        <v>55</v>
      </c>
      <c r="H378" s="9">
        <v>138</v>
      </c>
    </row>
    <row r="379" spans="2:8" x14ac:dyDescent="0.25">
      <c r="B379" s="3">
        <v>44619</v>
      </c>
      <c r="C379" s="2" t="s">
        <v>26</v>
      </c>
      <c r="D379" s="2" t="s">
        <v>12</v>
      </c>
      <c r="E379" s="2" t="s">
        <v>13</v>
      </c>
      <c r="F379" s="2" t="s">
        <v>14</v>
      </c>
      <c r="G379" s="2">
        <v>27</v>
      </c>
      <c r="H379" s="9">
        <v>135</v>
      </c>
    </row>
    <row r="380" spans="2:8" x14ac:dyDescent="0.25">
      <c r="B380" s="3">
        <v>44619</v>
      </c>
      <c r="C380" s="2" t="s">
        <v>24</v>
      </c>
      <c r="D380" s="2" t="s">
        <v>18</v>
      </c>
      <c r="E380" s="2" t="s">
        <v>9</v>
      </c>
      <c r="F380" s="2" t="s">
        <v>16</v>
      </c>
      <c r="G380" s="2">
        <v>60</v>
      </c>
      <c r="H380" s="9">
        <v>48</v>
      </c>
    </row>
    <row r="381" spans="2:8" x14ac:dyDescent="0.25">
      <c r="B381" s="3">
        <v>44619</v>
      </c>
      <c r="C381" s="2" t="s">
        <v>29</v>
      </c>
      <c r="D381" s="2" t="s">
        <v>18</v>
      </c>
      <c r="E381" s="2" t="s">
        <v>9</v>
      </c>
      <c r="F381" s="2" t="s">
        <v>14</v>
      </c>
      <c r="G381" s="2">
        <v>34</v>
      </c>
      <c r="H381" s="9">
        <v>147</v>
      </c>
    </row>
    <row r="382" spans="2:8" x14ac:dyDescent="0.25">
      <c r="B382" s="3">
        <v>44619</v>
      </c>
      <c r="C382" s="2" t="s">
        <v>7</v>
      </c>
      <c r="D382" s="2" t="s">
        <v>8</v>
      </c>
      <c r="E382" s="2" t="s">
        <v>9</v>
      </c>
      <c r="F382" s="2" t="s">
        <v>16</v>
      </c>
      <c r="G382" s="2">
        <v>24</v>
      </c>
      <c r="H382" s="9">
        <v>143</v>
      </c>
    </row>
    <row r="383" spans="2:8" x14ac:dyDescent="0.25">
      <c r="B383" s="3">
        <v>44619</v>
      </c>
      <c r="C383" s="2" t="s">
        <v>24</v>
      </c>
      <c r="D383" s="2" t="s">
        <v>18</v>
      </c>
      <c r="E383" s="2" t="s">
        <v>13</v>
      </c>
      <c r="F383" s="2" t="s">
        <v>16</v>
      </c>
      <c r="G383" s="2">
        <v>27</v>
      </c>
      <c r="H383" s="9">
        <v>80</v>
      </c>
    </row>
    <row r="384" spans="2:8" x14ac:dyDescent="0.25">
      <c r="B384" s="3">
        <v>44620</v>
      </c>
      <c r="C384" s="2" t="s">
        <v>22</v>
      </c>
      <c r="D384" s="2" t="s">
        <v>12</v>
      </c>
      <c r="E384" s="2" t="s">
        <v>13</v>
      </c>
      <c r="F384" s="2" t="s">
        <v>16</v>
      </c>
      <c r="G384" s="2">
        <v>41</v>
      </c>
      <c r="H384" s="9">
        <v>94</v>
      </c>
    </row>
    <row r="385" spans="2:8" x14ac:dyDescent="0.25">
      <c r="B385" s="3">
        <v>44620</v>
      </c>
      <c r="C385" s="2" t="s">
        <v>17</v>
      </c>
      <c r="D385" s="2" t="s">
        <v>18</v>
      </c>
      <c r="E385" s="2" t="s">
        <v>9</v>
      </c>
      <c r="F385" s="2" t="s">
        <v>10</v>
      </c>
      <c r="G385" s="2">
        <v>39</v>
      </c>
      <c r="H385" s="9">
        <v>60</v>
      </c>
    </row>
    <row r="386" spans="2:8" x14ac:dyDescent="0.25">
      <c r="B386" s="3">
        <v>44620</v>
      </c>
      <c r="C386" s="2" t="s">
        <v>22</v>
      </c>
      <c r="D386" s="2" t="s">
        <v>12</v>
      </c>
      <c r="E386" s="2" t="s">
        <v>13</v>
      </c>
      <c r="F386" s="2" t="s">
        <v>16</v>
      </c>
      <c r="G386" s="2">
        <v>27</v>
      </c>
      <c r="H386" s="9">
        <v>108</v>
      </c>
    </row>
    <row r="387" spans="2:8" x14ac:dyDescent="0.25">
      <c r="B387" s="3">
        <v>44620</v>
      </c>
      <c r="C387" s="2" t="s">
        <v>29</v>
      </c>
      <c r="D387" s="2" t="s">
        <v>18</v>
      </c>
      <c r="E387" s="2" t="s">
        <v>9</v>
      </c>
      <c r="F387" s="2" t="s">
        <v>16</v>
      </c>
      <c r="G387" s="2">
        <v>83</v>
      </c>
      <c r="H387" s="9">
        <v>77</v>
      </c>
    </row>
    <row r="388" spans="2:8" x14ac:dyDescent="0.25">
      <c r="B388" s="3">
        <v>44620</v>
      </c>
      <c r="C388" s="2" t="s">
        <v>17</v>
      </c>
      <c r="D388" s="2" t="s">
        <v>18</v>
      </c>
      <c r="E388" s="2" t="s">
        <v>9</v>
      </c>
      <c r="F388" s="2" t="s">
        <v>14</v>
      </c>
      <c r="G388" s="2">
        <v>37</v>
      </c>
      <c r="H388" s="9">
        <v>81</v>
      </c>
    </row>
    <row r="389" spans="2:8" x14ac:dyDescent="0.25">
      <c r="B389" s="3">
        <v>44620</v>
      </c>
      <c r="C389" s="2" t="s">
        <v>21</v>
      </c>
      <c r="D389" s="2" t="s">
        <v>8</v>
      </c>
      <c r="E389" s="2" t="s">
        <v>13</v>
      </c>
      <c r="F389" s="2" t="s">
        <v>10</v>
      </c>
      <c r="G389" s="2">
        <v>88</v>
      </c>
      <c r="H389" s="9">
        <v>68</v>
      </c>
    </row>
    <row r="390" spans="2:8" x14ac:dyDescent="0.25">
      <c r="B390" s="3">
        <v>44620</v>
      </c>
      <c r="C390" s="2" t="s">
        <v>26</v>
      </c>
      <c r="D390" s="2" t="s">
        <v>12</v>
      </c>
      <c r="E390" s="2" t="s">
        <v>13</v>
      </c>
      <c r="F390" s="2" t="s">
        <v>14</v>
      </c>
      <c r="G390" s="2">
        <v>26</v>
      </c>
      <c r="H390" s="9">
        <v>30</v>
      </c>
    </row>
    <row r="391" spans="2:8" x14ac:dyDescent="0.25">
      <c r="B391" s="3">
        <v>44620</v>
      </c>
      <c r="C391" s="2" t="s">
        <v>17</v>
      </c>
      <c r="D391" s="2" t="s">
        <v>18</v>
      </c>
      <c r="E391" s="2" t="s">
        <v>13</v>
      </c>
      <c r="F391" s="2" t="s">
        <v>14</v>
      </c>
      <c r="G391" s="2">
        <v>76</v>
      </c>
      <c r="H391" s="9">
        <v>150</v>
      </c>
    </row>
    <row r="392" spans="2:8" x14ac:dyDescent="0.25">
      <c r="B392" s="3">
        <v>44620</v>
      </c>
      <c r="C392" s="2" t="s">
        <v>24</v>
      </c>
      <c r="D392" s="2" t="s">
        <v>18</v>
      </c>
      <c r="E392" s="2" t="s">
        <v>9</v>
      </c>
      <c r="F392" s="2" t="s">
        <v>16</v>
      </c>
      <c r="G392" s="2">
        <v>94</v>
      </c>
      <c r="H392" s="9">
        <v>79</v>
      </c>
    </row>
    <row r="393" spans="2:8" x14ac:dyDescent="0.25">
      <c r="B393" s="3">
        <v>44620</v>
      </c>
      <c r="C393" s="2" t="s">
        <v>15</v>
      </c>
      <c r="D393" s="2" t="s">
        <v>8</v>
      </c>
      <c r="E393" s="2" t="s">
        <v>13</v>
      </c>
      <c r="F393" s="2" t="s">
        <v>16</v>
      </c>
      <c r="G393" s="2">
        <v>21</v>
      </c>
      <c r="H393" s="9">
        <v>142</v>
      </c>
    </row>
    <row r="394" spans="2:8" x14ac:dyDescent="0.25">
      <c r="B394" s="4">
        <v>44620</v>
      </c>
      <c r="C394" s="1" t="s">
        <v>7</v>
      </c>
      <c r="D394" s="1" t="s">
        <v>8</v>
      </c>
      <c r="E394" s="1" t="s">
        <v>13</v>
      </c>
      <c r="F394" s="1" t="s">
        <v>16</v>
      </c>
      <c r="G394" s="1">
        <v>77</v>
      </c>
      <c r="H394" s="10">
        <v>66</v>
      </c>
    </row>
    <row r="395" spans="2:8" x14ac:dyDescent="0.25">
      <c r="B395" s="3">
        <v>44621</v>
      </c>
      <c r="C395" s="2" t="s">
        <v>27</v>
      </c>
      <c r="D395" s="2" t="s">
        <v>18</v>
      </c>
      <c r="E395" s="2" t="s">
        <v>13</v>
      </c>
      <c r="F395" s="2" t="s">
        <v>14</v>
      </c>
      <c r="G395" s="2">
        <v>39</v>
      </c>
      <c r="H395" s="9">
        <v>67</v>
      </c>
    </row>
    <row r="396" spans="2:8" x14ac:dyDescent="0.25">
      <c r="B396" s="3">
        <v>44621</v>
      </c>
      <c r="C396" s="2" t="s">
        <v>27</v>
      </c>
      <c r="D396" s="2" t="s">
        <v>18</v>
      </c>
      <c r="E396" s="2" t="s">
        <v>9</v>
      </c>
      <c r="F396" s="2" t="s">
        <v>16</v>
      </c>
      <c r="G396" s="2">
        <v>83</v>
      </c>
      <c r="H396" s="9">
        <v>87</v>
      </c>
    </row>
    <row r="397" spans="2:8" x14ac:dyDescent="0.25">
      <c r="B397" s="3">
        <v>44621</v>
      </c>
      <c r="C397" s="2" t="s">
        <v>24</v>
      </c>
      <c r="D397" s="2" t="s">
        <v>18</v>
      </c>
      <c r="E397" s="2" t="s">
        <v>13</v>
      </c>
      <c r="F397" s="2" t="s">
        <v>16</v>
      </c>
      <c r="G397" s="2">
        <v>75</v>
      </c>
      <c r="H397" s="9">
        <v>25</v>
      </c>
    </row>
    <row r="398" spans="2:8" x14ac:dyDescent="0.25">
      <c r="B398" s="3">
        <v>44622</v>
      </c>
      <c r="C398" s="2" t="s">
        <v>15</v>
      </c>
      <c r="D398" s="2" t="s">
        <v>8</v>
      </c>
      <c r="E398" s="2" t="s">
        <v>9</v>
      </c>
      <c r="F398" s="2" t="s">
        <v>16</v>
      </c>
      <c r="G398" s="2">
        <v>51</v>
      </c>
      <c r="H398" s="9">
        <v>91</v>
      </c>
    </row>
    <row r="399" spans="2:8" x14ac:dyDescent="0.25">
      <c r="B399" s="3">
        <v>44622</v>
      </c>
      <c r="C399" s="2" t="s">
        <v>19</v>
      </c>
      <c r="D399" s="2" t="s">
        <v>12</v>
      </c>
      <c r="E399" s="2" t="s">
        <v>13</v>
      </c>
      <c r="F399" s="2" t="s">
        <v>16</v>
      </c>
      <c r="G399" s="2">
        <v>34</v>
      </c>
      <c r="H399" s="9">
        <v>49</v>
      </c>
    </row>
    <row r="400" spans="2:8" x14ac:dyDescent="0.25">
      <c r="B400" s="3">
        <v>44622</v>
      </c>
      <c r="C400" s="2" t="s">
        <v>23</v>
      </c>
      <c r="D400" s="2" t="s">
        <v>18</v>
      </c>
      <c r="E400" s="2" t="s">
        <v>9</v>
      </c>
      <c r="F400" s="2" t="s">
        <v>10</v>
      </c>
      <c r="G400" s="2">
        <v>29</v>
      </c>
      <c r="H400" s="9">
        <v>105</v>
      </c>
    </row>
    <row r="401" spans="2:8" x14ac:dyDescent="0.25">
      <c r="B401" s="3">
        <v>44622</v>
      </c>
      <c r="C401" s="2" t="s">
        <v>17</v>
      </c>
      <c r="D401" s="2" t="s">
        <v>18</v>
      </c>
      <c r="E401" s="2" t="s">
        <v>9</v>
      </c>
      <c r="F401" s="2" t="s">
        <v>14</v>
      </c>
      <c r="G401" s="2">
        <v>13</v>
      </c>
      <c r="H401" s="9">
        <v>27</v>
      </c>
    </row>
    <row r="402" spans="2:8" x14ac:dyDescent="0.25">
      <c r="B402" s="3">
        <v>44622</v>
      </c>
      <c r="C402" s="2" t="s">
        <v>26</v>
      </c>
      <c r="D402" s="2" t="s">
        <v>12</v>
      </c>
      <c r="E402" s="2" t="s">
        <v>9</v>
      </c>
      <c r="F402" s="2" t="s">
        <v>10</v>
      </c>
      <c r="G402" s="2">
        <v>49</v>
      </c>
      <c r="H402" s="9">
        <v>128</v>
      </c>
    </row>
    <row r="403" spans="2:8" x14ac:dyDescent="0.25">
      <c r="B403" s="3">
        <v>44622</v>
      </c>
      <c r="C403" s="2" t="s">
        <v>25</v>
      </c>
      <c r="D403" s="2" t="s">
        <v>12</v>
      </c>
      <c r="E403" s="2" t="s">
        <v>13</v>
      </c>
      <c r="F403" s="2" t="s">
        <v>14</v>
      </c>
      <c r="G403" s="2">
        <v>80</v>
      </c>
      <c r="H403" s="9">
        <v>115</v>
      </c>
    </row>
    <row r="404" spans="2:8" x14ac:dyDescent="0.25">
      <c r="B404" s="3">
        <v>44622</v>
      </c>
      <c r="C404" s="2" t="s">
        <v>21</v>
      </c>
      <c r="D404" s="2" t="s">
        <v>8</v>
      </c>
      <c r="E404" s="2" t="s">
        <v>9</v>
      </c>
      <c r="F404" s="2" t="s">
        <v>16</v>
      </c>
      <c r="G404" s="2">
        <v>20</v>
      </c>
      <c r="H404" s="9">
        <v>122</v>
      </c>
    </row>
    <row r="405" spans="2:8" x14ac:dyDescent="0.25">
      <c r="B405" s="3">
        <v>44622</v>
      </c>
      <c r="C405" s="2" t="s">
        <v>27</v>
      </c>
      <c r="D405" s="2" t="s">
        <v>18</v>
      </c>
      <c r="E405" s="2" t="s">
        <v>9</v>
      </c>
      <c r="F405" s="2" t="s">
        <v>16</v>
      </c>
      <c r="G405" s="2">
        <v>85</v>
      </c>
      <c r="H405" s="9">
        <v>52</v>
      </c>
    </row>
    <row r="406" spans="2:8" x14ac:dyDescent="0.25">
      <c r="B406" s="3">
        <v>44623</v>
      </c>
      <c r="C406" s="2" t="s">
        <v>26</v>
      </c>
      <c r="D406" s="2" t="s">
        <v>12</v>
      </c>
      <c r="E406" s="2" t="s">
        <v>13</v>
      </c>
      <c r="F406" s="2" t="s">
        <v>16</v>
      </c>
      <c r="G406" s="2">
        <v>72</v>
      </c>
      <c r="H406" s="9">
        <v>74</v>
      </c>
    </row>
    <row r="407" spans="2:8" x14ac:dyDescent="0.25">
      <c r="B407" s="3">
        <v>44623</v>
      </c>
      <c r="C407" s="2" t="s">
        <v>20</v>
      </c>
      <c r="D407" s="2" t="s">
        <v>8</v>
      </c>
      <c r="E407" s="2" t="s">
        <v>9</v>
      </c>
      <c r="F407" s="2" t="s">
        <v>14</v>
      </c>
      <c r="G407" s="2">
        <v>14</v>
      </c>
      <c r="H407" s="9">
        <v>122</v>
      </c>
    </row>
    <row r="408" spans="2:8" x14ac:dyDescent="0.25">
      <c r="B408" s="3">
        <v>44623</v>
      </c>
      <c r="C408" s="2" t="s">
        <v>28</v>
      </c>
      <c r="D408" s="2" t="s">
        <v>8</v>
      </c>
      <c r="E408" s="2" t="s">
        <v>13</v>
      </c>
      <c r="F408" s="2" t="s">
        <v>16</v>
      </c>
      <c r="G408" s="2">
        <v>25</v>
      </c>
      <c r="H408" s="9">
        <v>121</v>
      </c>
    </row>
    <row r="409" spans="2:8" x14ac:dyDescent="0.25">
      <c r="B409" s="3">
        <v>44623</v>
      </c>
      <c r="C409" s="2" t="s">
        <v>21</v>
      </c>
      <c r="D409" s="2" t="s">
        <v>8</v>
      </c>
      <c r="E409" s="2" t="s">
        <v>13</v>
      </c>
      <c r="F409" s="2" t="s">
        <v>10</v>
      </c>
      <c r="G409" s="2">
        <v>85</v>
      </c>
      <c r="H409" s="9">
        <v>64</v>
      </c>
    </row>
    <row r="410" spans="2:8" x14ac:dyDescent="0.25">
      <c r="B410" s="3">
        <v>44623</v>
      </c>
      <c r="C410" s="2" t="s">
        <v>19</v>
      </c>
      <c r="D410" s="2" t="s">
        <v>12</v>
      </c>
      <c r="E410" s="2" t="s">
        <v>13</v>
      </c>
      <c r="F410" s="2" t="s">
        <v>10</v>
      </c>
      <c r="G410" s="2">
        <v>86</v>
      </c>
      <c r="H410" s="9">
        <v>48</v>
      </c>
    </row>
    <row r="411" spans="2:8" x14ac:dyDescent="0.25">
      <c r="B411" s="3">
        <v>44623</v>
      </c>
      <c r="C411" s="2" t="s">
        <v>21</v>
      </c>
      <c r="D411" s="2" t="s">
        <v>8</v>
      </c>
      <c r="E411" s="2" t="s">
        <v>9</v>
      </c>
      <c r="F411" s="2" t="s">
        <v>16</v>
      </c>
      <c r="G411" s="2">
        <v>42</v>
      </c>
      <c r="H411" s="9">
        <v>111</v>
      </c>
    </row>
    <row r="412" spans="2:8" x14ac:dyDescent="0.25">
      <c r="B412" s="3">
        <v>44623</v>
      </c>
      <c r="C412" s="2" t="s">
        <v>17</v>
      </c>
      <c r="D412" s="2" t="s">
        <v>18</v>
      </c>
      <c r="E412" s="2" t="s">
        <v>9</v>
      </c>
      <c r="F412" s="2" t="s">
        <v>10</v>
      </c>
      <c r="G412" s="2">
        <v>36</v>
      </c>
      <c r="H412" s="9">
        <v>82</v>
      </c>
    </row>
    <row r="413" spans="2:8" x14ac:dyDescent="0.25">
      <c r="B413" s="3">
        <v>44623</v>
      </c>
      <c r="C413" s="2" t="s">
        <v>28</v>
      </c>
      <c r="D413" s="2" t="s">
        <v>8</v>
      </c>
      <c r="E413" s="2" t="s">
        <v>13</v>
      </c>
      <c r="F413" s="2" t="s">
        <v>10</v>
      </c>
      <c r="G413" s="2">
        <v>64</v>
      </c>
      <c r="H413" s="9">
        <v>31</v>
      </c>
    </row>
    <row r="414" spans="2:8" x14ac:dyDescent="0.25">
      <c r="B414" s="3">
        <v>44624</v>
      </c>
      <c r="C414" s="2" t="s">
        <v>24</v>
      </c>
      <c r="D414" s="2" t="s">
        <v>18</v>
      </c>
      <c r="E414" s="2" t="s">
        <v>9</v>
      </c>
      <c r="F414" s="2" t="s">
        <v>14</v>
      </c>
      <c r="G414" s="2">
        <v>28</v>
      </c>
      <c r="H414" s="9">
        <v>118</v>
      </c>
    </row>
    <row r="415" spans="2:8" x14ac:dyDescent="0.25">
      <c r="B415" s="3">
        <v>44624</v>
      </c>
      <c r="C415" s="2" t="s">
        <v>23</v>
      </c>
      <c r="D415" s="2" t="s">
        <v>18</v>
      </c>
      <c r="E415" s="2" t="s">
        <v>9</v>
      </c>
      <c r="F415" s="2" t="s">
        <v>16</v>
      </c>
      <c r="G415" s="2">
        <v>23</v>
      </c>
      <c r="H415" s="9">
        <v>74</v>
      </c>
    </row>
    <row r="416" spans="2:8" x14ac:dyDescent="0.25">
      <c r="B416" s="3">
        <v>44624</v>
      </c>
      <c r="C416" s="2" t="s">
        <v>26</v>
      </c>
      <c r="D416" s="2" t="s">
        <v>12</v>
      </c>
      <c r="E416" s="2" t="s">
        <v>13</v>
      </c>
      <c r="F416" s="2" t="s">
        <v>16</v>
      </c>
      <c r="G416" s="2">
        <v>66</v>
      </c>
      <c r="H416" s="9">
        <v>100</v>
      </c>
    </row>
    <row r="417" spans="2:8" x14ac:dyDescent="0.25">
      <c r="B417" s="3">
        <v>44625</v>
      </c>
      <c r="C417" s="2" t="s">
        <v>17</v>
      </c>
      <c r="D417" s="2" t="s">
        <v>18</v>
      </c>
      <c r="E417" s="2" t="s">
        <v>13</v>
      </c>
      <c r="F417" s="2" t="s">
        <v>14</v>
      </c>
      <c r="G417" s="2">
        <v>58</v>
      </c>
      <c r="H417" s="9">
        <v>56</v>
      </c>
    </row>
    <row r="418" spans="2:8" x14ac:dyDescent="0.25">
      <c r="B418" s="3">
        <v>44625</v>
      </c>
      <c r="C418" s="2" t="s">
        <v>24</v>
      </c>
      <c r="D418" s="2" t="s">
        <v>18</v>
      </c>
      <c r="E418" s="2" t="s">
        <v>9</v>
      </c>
      <c r="F418" s="2" t="s">
        <v>16</v>
      </c>
      <c r="G418" s="2">
        <v>58</v>
      </c>
      <c r="H418" s="9">
        <v>60</v>
      </c>
    </row>
    <row r="419" spans="2:8" x14ac:dyDescent="0.25">
      <c r="B419" s="3">
        <v>44625</v>
      </c>
      <c r="C419" s="2" t="s">
        <v>26</v>
      </c>
      <c r="D419" s="2" t="s">
        <v>12</v>
      </c>
      <c r="E419" s="2" t="s">
        <v>9</v>
      </c>
      <c r="F419" s="2" t="s">
        <v>14</v>
      </c>
      <c r="G419" s="2">
        <v>58</v>
      </c>
      <c r="H419" s="9">
        <v>125</v>
      </c>
    </row>
    <row r="420" spans="2:8" x14ac:dyDescent="0.25">
      <c r="B420" s="3">
        <v>44625</v>
      </c>
      <c r="C420" s="2" t="s">
        <v>22</v>
      </c>
      <c r="D420" s="2" t="s">
        <v>12</v>
      </c>
      <c r="E420" s="2" t="s">
        <v>13</v>
      </c>
      <c r="F420" s="2" t="s">
        <v>16</v>
      </c>
      <c r="G420" s="2">
        <v>37</v>
      </c>
      <c r="H420" s="9">
        <v>37</v>
      </c>
    </row>
    <row r="421" spans="2:8" x14ac:dyDescent="0.25">
      <c r="B421" s="3">
        <v>44625</v>
      </c>
      <c r="C421" s="2" t="s">
        <v>21</v>
      </c>
      <c r="D421" s="2" t="s">
        <v>8</v>
      </c>
      <c r="E421" s="2" t="s">
        <v>13</v>
      </c>
      <c r="F421" s="2" t="s">
        <v>16</v>
      </c>
      <c r="G421" s="2">
        <v>58</v>
      </c>
      <c r="H421" s="9">
        <v>111</v>
      </c>
    </row>
    <row r="422" spans="2:8" x14ac:dyDescent="0.25">
      <c r="B422" s="3">
        <v>44625</v>
      </c>
      <c r="C422" s="2" t="s">
        <v>21</v>
      </c>
      <c r="D422" s="2" t="s">
        <v>8</v>
      </c>
      <c r="E422" s="2" t="s">
        <v>13</v>
      </c>
      <c r="F422" s="2" t="s">
        <v>16</v>
      </c>
      <c r="G422" s="2">
        <v>21</v>
      </c>
      <c r="H422" s="9">
        <v>107</v>
      </c>
    </row>
    <row r="423" spans="2:8" x14ac:dyDescent="0.25">
      <c r="B423" s="3">
        <v>44625</v>
      </c>
      <c r="C423" s="2" t="s">
        <v>15</v>
      </c>
      <c r="D423" s="2" t="s">
        <v>8</v>
      </c>
      <c r="E423" s="2" t="s">
        <v>9</v>
      </c>
      <c r="F423" s="2" t="s">
        <v>16</v>
      </c>
      <c r="G423" s="2">
        <v>36</v>
      </c>
      <c r="H423" s="9">
        <v>59</v>
      </c>
    </row>
    <row r="424" spans="2:8" x14ac:dyDescent="0.25">
      <c r="B424" s="3">
        <v>44626</v>
      </c>
      <c r="C424" s="2" t="s">
        <v>28</v>
      </c>
      <c r="D424" s="2" t="s">
        <v>8</v>
      </c>
      <c r="E424" s="2" t="s">
        <v>13</v>
      </c>
      <c r="F424" s="2" t="s">
        <v>14</v>
      </c>
      <c r="G424" s="2">
        <v>37</v>
      </c>
      <c r="H424" s="9">
        <v>138</v>
      </c>
    </row>
    <row r="425" spans="2:8" x14ac:dyDescent="0.25">
      <c r="B425" s="3">
        <v>44626</v>
      </c>
      <c r="C425" s="2" t="s">
        <v>22</v>
      </c>
      <c r="D425" s="2" t="s">
        <v>12</v>
      </c>
      <c r="E425" s="2" t="s">
        <v>9</v>
      </c>
      <c r="F425" s="2" t="s">
        <v>16</v>
      </c>
      <c r="G425" s="2">
        <v>19</v>
      </c>
      <c r="H425" s="9">
        <v>114</v>
      </c>
    </row>
    <row r="426" spans="2:8" x14ac:dyDescent="0.25">
      <c r="B426" s="3">
        <v>44626</v>
      </c>
      <c r="C426" s="2" t="s">
        <v>21</v>
      </c>
      <c r="D426" s="2" t="s">
        <v>8</v>
      </c>
      <c r="E426" s="2" t="s">
        <v>9</v>
      </c>
      <c r="F426" s="2" t="s">
        <v>10</v>
      </c>
      <c r="G426" s="2">
        <v>50</v>
      </c>
      <c r="H426" s="9">
        <v>128</v>
      </c>
    </row>
    <row r="427" spans="2:8" x14ac:dyDescent="0.25">
      <c r="B427" s="3">
        <v>44626</v>
      </c>
      <c r="C427" s="2" t="s">
        <v>7</v>
      </c>
      <c r="D427" s="2" t="s">
        <v>8</v>
      </c>
      <c r="E427" s="2" t="s">
        <v>9</v>
      </c>
      <c r="F427" s="2" t="s">
        <v>10</v>
      </c>
      <c r="G427" s="2">
        <v>17</v>
      </c>
      <c r="H427" s="9">
        <v>90</v>
      </c>
    </row>
    <row r="428" spans="2:8" x14ac:dyDescent="0.25">
      <c r="B428" s="3">
        <v>44626</v>
      </c>
      <c r="C428" s="2" t="s">
        <v>25</v>
      </c>
      <c r="D428" s="2" t="s">
        <v>12</v>
      </c>
      <c r="E428" s="2" t="s">
        <v>13</v>
      </c>
      <c r="F428" s="2" t="s">
        <v>10</v>
      </c>
      <c r="G428" s="2">
        <v>62</v>
      </c>
      <c r="H428" s="9">
        <v>56</v>
      </c>
    </row>
    <row r="429" spans="2:8" x14ac:dyDescent="0.25">
      <c r="B429" s="3">
        <v>44626</v>
      </c>
      <c r="C429" s="2" t="s">
        <v>17</v>
      </c>
      <c r="D429" s="2" t="s">
        <v>18</v>
      </c>
      <c r="E429" s="2" t="s">
        <v>9</v>
      </c>
      <c r="F429" s="2" t="s">
        <v>10</v>
      </c>
      <c r="G429" s="2">
        <v>41</v>
      </c>
      <c r="H429" s="9">
        <v>106</v>
      </c>
    </row>
    <row r="430" spans="2:8" x14ac:dyDescent="0.25">
      <c r="B430" s="3">
        <v>44626</v>
      </c>
      <c r="C430" s="2" t="s">
        <v>24</v>
      </c>
      <c r="D430" s="2" t="s">
        <v>18</v>
      </c>
      <c r="E430" s="2" t="s">
        <v>9</v>
      </c>
      <c r="F430" s="2" t="s">
        <v>14</v>
      </c>
      <c r="G430" s="2">
        <v>56</v>
      </c>
      <c r="H430" s="9">
        <v>77</v>
      </c>
    </row>
    <row r="431" spans="2:8" x14ac:dyDescent="0.25">
      <c r="B431" s="3">
        <v>44626</v>
      </c>
      <c r="C431" s="2" t="s">
        <v>7</v>
      </c>
      <c r="D431" s="2" t="s">
        <v>8</v>
      </c>
      <c r="E431" s="2" t="s">
        <v>9</v>
      </c>
      <c r="F431" s="2" t="s">
        <v>16</v>
      </c>
      <c r="G431" s="2">
        <v>73</v>
      </c>
      <c r="H431" s="9">
        <v>123</v>
      </c>
    </row>
    <row r="432" spans="2:8" x14ac:dyDescent="0.25">
      <c r="B432" s="3">
        <v>44626</v>
      </c>
      <c r="C432" s="2" t="s">
        <v>22</v>
      </c>
      <c r="D432" s="2" t="s">
        <v>12</v>
      </c>
      <c r="E432" s="2" t="s">
        <v>9</v>
      </c>
      <c r="F432" s="2" t="s">
        <v>10</v>
      </c>
      <c r="G432" s="2">
        <v>12</v>
      </c>
      <c r="H432" s="9">
        <v>87</v>
      </c>
    </row>
    <row r="433" spans="2:8" x14ac:dyDescent="0.25">
      <c r="B433" s="3">
        <v>44626</v>
      </c>
      <c r="C433" s="2" t="s">
        <v>29</v>
      </c>
      <c r="D433" s="2" t="s">
        <v>18</v>
      </c>
      <c r="E433" s="2" t="s">
        <v>13</v>
      </c>
      <c r="F433" s="2" t="s">
        <v>16</v>
      </c>
      <c r="G433" s="2">
        <v>26</v>
      </c>
      <c r="H433" s="9">
        <v>26</v>
      </c>
    </row>
    <row r="434" spans="2:8" x14ac:dyDescent="0.25">
      <c r="B434" s="3">
        <v>44626</v>
      </c>
      <c r="C434" s="2" t="s">
        <v>26</v>
      </c>
      <c r="D434" s="2" t="s">
        <v>12</v>
      </c>
      <c r="E434" s="2" t="s">
        <v>13</v>
      </c>
      <c r="F434" s="2" t="s">
        <v>10</v>
      </c>
      <c r="G434" s="2">
        <v>51</v>
      </c>
      <c r="H434" s="9">
        <v>110</v>
      </c>
    </row>
    <row r="435" spans="2:8" x14ac:dyDescent="0.25">
      <c r="B435" s="3">
        <v>44626</v>
      </c>
      <c r="C435" s="2" t="s">
        <v>26</v>
      </c>
      <c r="D435" s="2" t="s">
        <v>12</v>
      </c>
      <c r="E435" s="2" t="s">
        <v>13</v>
      </c>
      <c r="F435" s="2" t="s">
        <v>16</v>
      </c>
      <c r="G435" s="2">
        <v>96</v>
      </c>
      <c r="H435" s="9">
        <v>24</v>
      </c>
    </row>
    <row r="436" spans="2:8" x14ac:dyDescent="0.25">
      <c r="B436" s="3">
        <v>44627</v>
      </c>
      <c r="C436" s="2" t="s">
        <v>25</v>
      </c>
      <c r="D436" s="2" t="s">
        <v>12</v>
      </c>
      <c r="E436" s="2" t="s">
        <v>13</v>
      </c>
      <c r="F436" s="2" t="s">
        <v>14</v>
      </c>
      <c r="G436" s="2">
        <v>41</v>
      </c>
      <c r="H436" s="9">
        <v>145</v>
      </c>
    </row>
    <row r="437" spans="2:8" x14ac:dyDescent="0.25">
      <c r="B437" s="3">
        <v>44627</v>
      </c>
      <c r="C437" s="2" t="s">
        <v>25</v>
      </c>
      <c r="D437" s="2" t="s">
        <v>12</v>
      </c>
      <c r="E437" s="2" t="s">
        <v>9</v>
      </c>
      <c r="F437" s="2" t="s">
        <v>10</v>
      </c>
      <c r="G437" s="2">
        <v>59</v>
      </c>
      <c r="H437" s="9">
        <v>111</v>
      </c>
    </row>
    <row r="438" spans="2:8" x14ac:dyDescent="0.25">
      <c r="B438" s="3">
        <v>44627</v>
      </c>
      <c r="C438" s="2" t="s">
        <v>27</v>
      </c>
      <c r="D438" s="2" t="s">
        <v>18</v>
      </c>
      <c r="E438" s="2" t="s">
        <v>9</v>
      </c>
      <c r="F438" s="2" t="s">
        <v>14</v>
      </c>
      <c r="G438" s="2">
        <v>33</v>
      </c>
      <c r="H438" s="9">
        <v>60</v>
      </c>
    </row>
    <row r="439" spans="2:8" x14ac:dyDescent="0.25">
      <c r="B439" s="3">
        <v>44627</v>
      </c>
      <c r="C439" s="2" t="s">
        <v>15</v>
      </c>
      <c r="D439" s="2" t="s">
        <v>8</v>
      </c>
      <c r="E439" s="2" t="s">
        <v>9</v>
      </c>
      <c r="F439" s="2" t="s">
        <v>10</v>
      </c>
      <c r="G439" s="2">
        <v>55</v>
      </c>
      <c r="H439" s="9">
        <v>78</v>
      </c>
    </row>
    <row r="440" spans="2:8" x14ac:dyDescent="0.25">
      <c r="B440" s="3">
        <v>44627</v>
      </c>
      <c r="C440" s="2" t="s">
        <v>26</v>
      </c>
      <c r="D440" s="2" t="s">
        <v>12</v>
      </c>
      <c r="E440" s="2" t="s">
        <v>9</v>
      </c>
      <c r="F440" s="2" t="s">
        <v>16</v>
      </c>
      <c r="G440" s="2">
        <v>100</v>
      </c>
      <c r="H440" s="9">
        <v>25</v>
      </c>
    </row>
    <row r="441" spans="2:8" x14ac:dyDescent="0.25">
      <c r="B441" s="3">
        <v>44627</v>
      </c>
      <c r="C441" s="2" t="s">
        <v>26</v>
      </c>
      <c r="D441" s="2" t="s">
        <v>12</v>
      </c>
      <c r="E441" s="2" t="s">
        <v>13</v>
      </c>
      <c r="F441" s="2" t="s">
        <v>10</v>
      </c>
      <c r="G441" s="2">
        <v>82</v>
      </c>
      <c r="H441" s="9">
        <v>130</v>
      </c>
    </row>
    <row r="442" spans="2:8" x14ac:dyDescent="0.25">
      <c r="B442" s="3">
        <v>44627</v>
      </c>
      <c r="C442" s="2" t="s">
        <v>29</v>
      </c>
      <c r="D442" s="2" t="s">
        <v>18</v>
      </c>
      <c r="E442" s="2" t="s">
        <v>9</v>
      </c>
      <c r="F442" s="2" t="s">
        <v>10</v>
      </c>
      <c r="G442" s="2">
        <v>63</v>
      </c>
      <c r="H442" s="9">
        <v>106</v>
      </c>
    </row>
    <row r="443" spans="2:8" x14ac:dyDescent="0.25">
      <c r="B443" s="3">
        <v>44627</v>
      </c>
      <c r="C443" s="2" t="s">
        <v>17</v>
      </c>
      <c r="D443" s="2" t="s">
        <v>18</v>
      </c>
      <c r="E443" s="2" t="s">
        <v>13</v>
      </c>
      <c r="F443" s="2" t="s">
        <v>16</v>
      </c>
      <c r="G443" s="2">
        <v>40</v>
      </c>
      <c r="H443" s="9">
        <v>90</v>
      </c>
    </row>
    <row r="444" spans="2:8" x14ac:dyDescent="0.25">
      <c r="B444" s="3">
        <v>44627</v>
      </c>
      <c r="C444" s="2" t="s">
        <v>21</v>
      </c>
      <c r="D444" s="2" t="s">
        <v>8</v>
      </c>
      <c r="E444" s="2" t="s">
        <v>13</v>
      </c>
      <c r="F444" s="2" t="s">
        <v>10</v>
      </c>
      <c r="G444" s="2">
        <v>80</v>
      </c>
      <c r="H444" s="9">
        <v>21</v>
      </c>
    </row>
    <row r="445" spans="2:8" x14ac:dyDescent="0.25">
      <c r="B445" s="3">
        <v>44628</v>
      </c>
      <c r="C445" s="2" t="s">
        <v>17</v>
      </c>
      <c r="D445" s="2" t="s">
        <v>18</v>
      </c>
      <c r="E445" s="2" t="s">
        <v>9</v>
      </c>
      <c r="F445" s="2" t="s">
        <v>16</v>
      </c>
      <c r="G445" s="2">
        <v>24</v>
      </c>
      <c r="H445" s="9">
        <v>86</v>
      </c>
    </row>
    <row r="446" spans="2:8" x14ac:dyDescent="0.25">
      <c r="B446" s="3">
        <v>44628</v>
      </c>
      <c r="C446" s="2" t="s">
        <v>23</v>
      </c>
      <c r="D446" s="2" t="s">
        <v>18</v>
      </c>
      <c r="E446" s="2" t="s">
        <v>9</v>
      </c>
      <c r="F446" s="2" t="s">
        <v>10</v>
      </c>
      <c r="G446" s="2">
        <v>85</v>
      </c>
      <c r="H446" s="9">
        <v>89</v>
      </c>
    </row>
    <row r="447" spans="2:8" x14ac:dyDescent="0.25">
      <c r="B447" s="3">
        <v>44628</v>
      </c>
      <c r="C447" s="2" t="s">
        <v>26</v>
      </c>
      <c r="D447" s="2" t="s">
        <v>12</v>
      </c>
      <c r="E447" s="2" t="s">
        <v>13</v>
      </c>
      <c r="F447" s="2" t="s">
        <v>16</v>
      </c>
      <c r="G447" s="2">
        <v>50</v>
      </c>
      <c r="H447" s="9">
        <v>50</v>
      </c>
    </row>
    <row r="448" spans="2:8" x14ac:dyDescent="0.25">
      <c r="B448" s="3">
        <v>44628</v>
      </c>
      <c r="C448" s="2" t="s">
        <v>7</v>
      </c>
      <c r="D448" s="2" t="s">
        <v>8</v>
      </c>
      <c r="E448" s="2" t="s">
        <v>13</v>
      </c>
      <c r="F448" s="2" t="s">
        <v>14</v>
      </c>
      <c r="G448" s="2">
        <v>92</v>
      </c>
      <c r="H448" s="9">
        <v>38</v>
      </c>
    </row>
    <row r="449" spans="2:8" x14ac:dyDescent="0.25">
      <c r="B449" s="3">
        <v>44628</v>
      </c>
      <c r="C449" s="2" t="s">
        <v>23</v>
      </c>
      <c r="D449" s="2" t="s">
        <v>18</v>
      </c>
      <c r="E449" s="2" t="s">
        <v>13</v>
      </c>
      <c r="F449" s="2" t="s">
        <v>14</v>
      </c>
      <c r="G449" s="2">
        <v>25</v>
      </c>
      <c r="H449" s="9">
        <v>39</v>
      </c>
    </row>
    <row r="450" spans="2:8" x14ac:dyDescent="0.25">
      <c r="B450" s="3">
        <v>44628</v>
      </c>
      <c r="C450" s="2" t="s">
        <v>17</v>
      </c>
      <c r="D450" s="2" t="s">
        <v>18</v>
      </c>
      <c r="E450" s="2" t="s">
        <v>13</v>
      </c>
      <c r="F450" s="2" t="s">
        <v>10</v>
      </c>
      <c r="G450" s="2">
        <v>45</v>
      </c>
      <c r="H450" s="9">
        <v>139</v>
      </c>
    </row>
    <row r="451" spans="2:8" x14ac:dyDescent="0.25">
      <c r="B451" s="3">
        <v>44629</v>
      </c>
      <c r="C451" s="2" t="s">
        <v>23</v>
      </c>
      <c r="D451" s="2" t="s">
        <v>18</v>
      </c>
      <c r="E451" s="2" t="s">
        <v>13</v>
      </c>
      <c r="F451" s="2" t="s">
        <v>14</v>
      </c>
      <c r="G451" s="2">
        <v>51</v>
      </c>
      <c r="H451" s="9">
        <v>83</v>
      </c>
    </row>
    <row r="452" spans="2:8" x14ac:dyDescent="0.25">
      <c r="B452" s="3">
        <v>44629</v>
      </c>
      <c r="C452" s="2" t="s">
        <v>28</v>
      </c>
      <c r="D452" s="2" t="s">
        <v>8</v>
      </c>
      <c r="E452" s="2" t="s">
        <v>13</v>
      </c>
      <c r="F452" s="2" t="s">
        <v>14</v>
      </c>
      <c r="G452" s="2">
        <v>49</v>
      </c>
      <c r="H452" s="9">
        <v>149</v>
      </c>
    </row>
    <row r="453" spans="2:8" x14ac:dyDescent="0.25">
      <c r="B453" s="3">
        <v>44629</v>
      </c>
      <c r="C453" s="2" t="s">
        <v>20</v>
      </c>
      <c r="D453" s="2" t="s">
        <v>8</v>
      </c>
      <c r="E453" s="2" t="s">
        <v>13</v>
      </c>
      <c r="F453" s="2" t="s">
        <v>10</v>
      </c>
      <c r="G453" s="2">
        <v>85</v>
      </c>
      <c r="H453" s="9">
        <v>83</v>
      </c>
    </row>
    <row r="454" spans="2:8" x14ac:dyDescent="0.25">
      <c r="B454" s="3">
        <v>44629</v>
      </c>
      <c r="C454" s="2" t="s">
        <v>21</v>
      </c>
      <c r="D454" s="2" t="s">
        <v>8</v>
      </c>
      <c r="E454" s="2" t="s">
        <v>13</v>
      </c>
      <c r="F454" s="2" t="s">
        <v>16</v>
      </c>
      <c r="G454" s="2">
        <v>86</v>
      </c>
      <c r="H454" s="9">
        <v>115</v>
      </c>
    </row>
    <row r="455" spans="2:8" x14ac:dyDescent="0.25">
      <c r="B455" s="3">
        <v>44629</v>
      </c>
      <c r="C455" s="2" t="s">
        <v>26</v>
      </c>
      <c r="D455" s="2" t="s">
        <v>12</v>
      </c>
      <c r="E455" s="2" t="s">
        <v>9</v>
      </c>
      <c r="F455" s="2" t="s">
        <v>10</v>
      </c>
      <c r="G455" s="2">
        <v>14</v>
      </c>
      <c r="H455" s="9">
        <v>145</v>
      </c>
    </row>
    <row r="456" spans="2:8" x14ac:dyDescent="0.25">
      <c r="B456" s="3">
        <v>44629</v>
      </c>
      <c r="C456" s="2" t="s">
        <v>11</v>
      </c>
      <c r="D456" s="2" t="s">
        <v>12</v>
      </c>
      <c r="E456" s="2" t="s">
        <v>9</v>
      </c>
      <c r="F456" s="2" t="s">
        <v>14</v>
      </c>
      <c r="G456" s="2">
        <v>14</v>
      </c>
      <c r="H456" s="9">
        <v>104</v>
      </c>
    </row>
    <row r="457" spans="2:8" x14ac:dyDescent="0.25">
      <c r="B457" s="3">
        <v>44629</v>
      </c>
      <c r="C457" s="2" t="s">
        <v>21</v>
      </c>
      <c r="D457" s="2" t="s">
        <v>8</v>
      </c>
      <c r="E457" s="2" t="s">
        <v>9</v>
      </c>
      <c r="F457" s="2" t="s">
        <v>10</v>
      </c>
      <c r="G457" s="2">
        <v>32</v>
      </c>
      <c r="H457" s="9">
        <v>133</v>
      </c>
    </row>
    <row r="458" spans="2:8" x14ac:dyDescent="0.25">
      <c r="B458" s="3">
        <v>44629</v>
      </c>
      <c r="C458" s="2" t="s">
        <v>25</v>
      </c>
      <c r="D458" s="2" t="s">
        <v>12</v>
      </c>
      <c r="E458" s="2" t="s">
        <v>9</v>
      </c>
      <c r="F458" s="2" t="s">
        <v>10</v>
      </c>
      <c r="G458" s="2">
        <v>50</v>
      </c>
      <c r="H458" s="9">
        <v>32</v>
      </c>
    </row>
    <row r="459" spans="2:8" x14ac:dyDescent="0.25">
      <c r="B459" s="3">
        <v>44629</v>
      </c>
      <c r="C459" s="2" t="s">
        <v>15</v>
      </c>
      <c r="D459" s="2" t="s">
        <v>8</v>
      </c>
      <c r="E459" s="2" t="s">
        <v>9</v>
      </c>
      <c r="F459" s="2" t="s">
        <v>14</v>
      </c>
      <c r="G459" s="2">
        <v>29</v>
      </c>
      <c r="H459" s="9">
        <v>128</v>
      </c>
    </row>
    <row r="460" spans="2:8" x14ac:dyDescent="0.25">
      <c r="B460" s="3">
        <v>44629</v>
      </c>
      <c r="C460" s="2" t="s">
        <v>15</v>
      </c>
      <c r="D460" s="2" t="s">
        <v>8</v>
      </c>
      <c r="E460" s="2" t="s">
        <v>13</v>
      </c>
      <c r="F460" s="2" t="s">
        <v>14</v>
      </c>
      <c r="G460" s="2">
        <v>41</v>
      </c>
      <c r="H460" s="9">
        <v>30</v>
      </c>
    </row>
    <row r="461" spans="2:8" x14ac:dyDescent="0.25">
      <c r="B461" s="3">
        <v>44629</v>
      </c>
      <c r="C461" s="2" t="s">
        <v>11</v>
      </c>
      <c r="D461" s="2" t="s">
        <v>12</v>
      </c>
      <c r="E461" s="2" t="s">
        <v>9</v>
      </c>
      <c r="F461" s="2" t="s">
        <v>10</v>
      </c>
      <c r="G461" s="2">
        <v>89</v>
      </c>
      <c r="H461" s="9">
        <v>97</v>
      </c>
    </row>
    <row r="462" spans="2:8" x14ac:dyDescent="0.25">
      <c r="B462" s="3">
        <v>44630</v>
      </c>
      <c r="C462" s="2" t="s">
        <v>11</v>
      </c>
      <c r="D462" s="2" t="s">
        <v>12</v>
      </c>
      <c r="E462" s="2" t="s">
        <v>9</v>
      </c>
      <c r="F462" s="2" t="s">
        <v>10</v>
      </c>
      <c r="G462" s="2">
        <v>30</v>
      </c>
      <c r="H462" s="9">
        <v>85</v>
      </c>
    </row>
    <row r="463" spans="2:8" x14ac:dyDescent="0.25">
      <c r="B463" s="3">
        <v>44630</v>
      </c>
      <c r="C463" s="2" t="s">
        <v>28</v>
      </c>
      <c r="D463" s="2" t="s">
        <v>8</v>
      </c>
      <c r="E463" s="2" t="s">
        <v>13</v>
      </c>
      <c r="F463" s="2" t="s">
        <v>16</v>
      </c>
      <c r="G463" s="2">
        <v>84</v>
      </c>
      <c r="H463" s="9">
        <v>143</v>
      </c>
    </row>
    <row r="464" spans="2:8" x14ac:dyDescent="0.25">
      <c r="B464" s="3">
        <v>44630</v>
      </c>
      <c r="C464" s="2" t="s">
        <v>24</v>
      </c>
      <c r="D464" s="2" t="s">
        <v>18</v>
      </c>
      <c r="E464" s="2" t="s">
        <v>9</v>
      </c>
      <c r="F464" s="2" t="s">
        <v>16</v>
      </c>
      <c r="G464" s="2">
        <v>53</v>
      </c>
      <c r="H464" s="9">
        <v>37</v>
      </c>
    </row>
    <row r="465" spans="2:8" x14ac:dyDescent="0.25">
      <c r="B465" s="3">
        <v>44630</v>
      </c>
      <c r="C465" s="2" t="s">
        <v>27</v>
      </c>
      <c r="D465" s="2" t="s">
        <v>18</v>
      </c>
      <c r="E465" s="2" t="s">
        <v>13</v>
      </c>
      <c r="F465" s="2" t="s">
        <v>10</v>
      </c>
      <c r="G465" s="2">
        <v>93</v>
      </c>
      <c r="H465" s="9">
        <v>53</v>
      </c>
    </row>
    <row r="466" spans="2:8" x14ac:dyDescent="0.25">
      <c r="B466" s="3">
        <v>44631</v>
      </c>
      <c r="C466" s="2" t="s">
        <v>29</v>
      </c>
      <c r="D466" s="2" t="s">
        <v>18</v>
      </c>
      <c r="E466" s="2" t="s">
        <v>13</v>
      </c>
      <c r="F466" s="2" t="s">
        <v>16</v>
      </c>
      <c r="G466" s="2">
        <v>34</v>
      </c>
      <c r="H466" s="9">
        <v>124</v>
      </c>
    </row>
    <row r="467" spans="2:8" x14ac:dyDescent="0.25">
      <c r="B467" s="3">
        <v>44631</v>
      </c>
      <c r="C467" s="2" t="s">
        <v>20</v>
      </c>
      <c r="D467" s="2" t="s">
        <v>8</v>
      </c>
      <c r="E467" s="2" t="s">
        <v>9</v>
      </c>
      <c r="F467" s="2" t="s">
        <v>16</v>
      </c>
      <c r="G467" s="2">
        <v>91</v>
      </c>
      <c r="H467" s="9">
        <v>138</v>
      </c>
    </row>
    <row r="468" spans="2:8" x14ac:dyDescent="0.25">
      <c r="B468" s="3">
        <v>44631</v>
      </c>
      <c r="C468" s="2" t="s">
        <v>28</v>
      </c>
      <c r="D468" s="2" t="s">
        <v>8</v>
      </c>
      <c r="E468" s="2" t="s">
        <v>9</v>
      </c>
      <c r="F468" s="2" t="s">
        <v>10</v>
      </c>
      <c r="G468" s="2">
        <v>63</v>
      </c>
      <c r="H468" s="9">
        <v>122</v>
      </c>
    </row>
    <row r="469" spans="2:8" x14ac:dyDescent="0.25">
      <c r="B469" s="3">
        <v>44631</v>
      </c>
      <c r="C469" s="2" t="s">
        <v>21</v>
      </c>
      <c r="D469" s="2" t="s">
        <v>8</v>
      </c>
      <c r="E469" s="2" t="s">
        <v>9</v>
      </c>
      <c r="F469" s="2" t="s">
        <v>16</v>
      </c>
      <c r="G469" s="2">
        <v>82</v>
      </c>
      <c r="H469" s="9">
        <v>101</v>
      </c>
    </row>
    <row r="470" spans="2:8" x14ac:dyDescent="0.25">
      <c r="B470" s="3">
        <v>44631</v>
      </c>
      <c r="C470" s="2" t="s">
        <v>22</v>
      </c>
      <c r="D470" s="2" t="s">
        <v>12</v>
      </c>
      <c r="E470" s="2" t="s">
        <v>9</v>
      </c>
      <c r="F470" s="2" t="s">
        <v>10</v>
      </c>
      <c r="G470" s="2">
        <v>61</v>
      </c>
      <c r="H470" s="9">
        <v>52</v>
      </c>
    </row>
    <row r="471" spans="2:8" x14ac:dyDescent="0.25">
      <c r="B471" s="3">
        <v>44632</v>
      </c>
      <c r="C471" s="2" t="s">
        <v>7</v>
      </c>
      <c r="D471" s="2" t="s">
        <v>8</v>
      </c>
      <c r="E471" s="2" t="s">
        <v>13</v>
      </c>
      <c r="F471" s="2" t="s">
        <v>10</v>
      </c>
      <c r="G471" s="2">
        <v>43</v>
      </c>
      <c r="H471" s="9">
        <v>109</v>
      </c>
    </row>
    <row r="472" spans="2:8" x14ac:dyDescent="0.25">
      <c r="B472" s="3">
        <v>44632</v>
      </c>
      <c r="C472" s="2" t="s">
        <v>28</v>
      </c>
      <c r="D472" s="2" t="s">
        <v>8</v>
      </c>
      <c r="E472" s="2" t="s">
        <v>13</v>
      </c>
      <c r="F472" s="2" t="s">
        <v>16</v>
      </c>
      <c r="G472" s="2">
        <v>74</v>
      </c>
      <c r="H472" s="9">
        <v>33</v>
      </c>
    </row>
    <row r="473" spans="2:8" x14ac:dyDescent="0.25">
      <c r="B473" s="3">
        <v>44632</v>
      </c>
      <c r="C473" s="2" t="s">
        <v>11</v>
      </c>
      <c r="D473" s="2" t="s">
        <v>12</v>
      </c>
      <c r="E473" s="2" t="s">
        <v>13</v>
      </c>
      <c r="F473" s="2" t="s">
        <v>16</v>
      </c>
      <c r="G473" s="2">
        <v>14</v>
      </c>
      <c r="H473" s="9">
        <v>116</v>
      </c>
    </row>
    <row r="474" spans="2:8" x14ac:dyDescent="0.25">
      <c r="B474" s="3">
        <v>44632</v>
      </c>
      <c r="C474" s="2" t="s">
        <v>19</v>
      </c>
      <c r="D474" s="2" t="s">
        <v>12</v>
      </c>
      <c r="E474" s="2" t="s">
        <v>9</v>
      </c>
      <c r="F474" s="2" t="s">
        <v>16</v>
      </c>
      <c r="G474" s="2">
        <v>57</v>
      </c>
      <c r="H474" s="9">
        <v>139</v>
      </c>
    </row>
    <row r="475" spans="2:8" x14ac:dyDescent="0.25">
      <c r="B475" s="3">
        <v>44632</v>
      </c>
      <c r="C475" s="2" t="s">
        <v>17</v>
      </c>
      <c r="D475" s="2" t="s">
        <v>18</v>
      </c>
      <c r="E475" s="2" t="s">
        <v>13</v>
      </c>
      <c r="F475" s="2" t="s">
        <v>10</v>
      </c>
      <c r="G475" s="2">
        <v>90</v>
      </c>
      <c r="H475" s="9">
        <v>93</v>
      </c>
    </row>
    <row r="476" spans="2:8" x14ac:dyDescent="0.25">
      <c r="B476" s="3">
        <v>44632</v>
      </c>
      <c r="C476" s="2" t="s">
        <v>24</v>
      </c>
      <c r="D476" s="2" t="s">
        <v>18</v>
      </c>
      <c r="E476" s="2" t="s">
        <v>9</v>
      </c>
      <c r="F476" s="2" t="s">
        <v>14</v>
      </c>
      <c r="G476" s="2">
        <v>41</v>
      </c>
      <c r="H476" s="9">
        <v>31</v>
      </c>
    </row>
    <row r="477" spans="2:8" x14ac:dyDescent="0.25">
      <c r="B477" s="3">
        <v>44632</v>
      </c>
      <c r="C477" s="2" t="s">
        <v>19</v>
      </c>
      <c r="D477" s="2" t="s">
        <v>12</v>
      </c>
      <c r="E477" s="2" t="s">
        <v>13</v>
      </c>
      <c r="F477" s="2" t="s">
        <v>16</v>
      </c>
      <c r="G477" s="2">
        <v>56</v>
      </c>
      <c r="H477" s="9">
        <v>146</v>
      </c>
    </row>
    <row r="478" spans="2:8" x14ac:dyDescent="0.25">
      <c r="B478" s="3">
        <v>44632</v>
      </c>
      <c r="C478" s="2" t="s">
        <v>24</v>
      </c>
      <c r="D478" s="2" t="s">
        <v>18</v>
      </c>
      <c r="E478" s="2" t="s">
        <v>13</v>
      </c>
      <c r="F478" s="2" t="s">
        <v>14</v>
      </c>
      <c r="G478" s="2">
        <v>40</v>
      </c>
      <c r="H478" s="9">
        <v>94</v>
      </c>
    </row>
    <row r="479" spans="2:8" x14ac:dyDescent="0.25">
      <c r="B479" s="3">
        <v>44632</v>
      </c>
      <c r="C479" s="2" t="s">
        <v>11</v>
      </c>
      <c r="D479" s="2" t="s">
        <v>12</v>
      </c>
      <c r="E479" s="2" t="s">
        <v>9</v>
      </c>
      <c r="F479" s="2" t="s">
        <v>10</v>
      </c>
      <c r="G479" s="2">
        <v>26</v>
      </c>
      <c r="H479" s="9">
        <v>130</v>
      </c>
    </row>
    <row r="480" spans="2:8" x14ac:dyDescent="0.25">
      <c r="B480" s="3">
        <v>44632</v>
      </c>
      <c r="C480" s="2" t="s">
        <v>23</v>
      </c>
      <c r="D480" s="2" t="s">
        <v>18</v>
      </c>
      <c r="E480" s="2" t="s">
        <v>13</v>
      </c>
      <c r="F480" s="2" t="s">
        <v>16</v>
      </c>
      <c r="G480" s="2">
        <v>48</v>
      </c>
      <c r="H480" s="9">
        <v>106</v>
      </c>
    </row>
    <row r="481" spans="2:8" x14ac:dyDescent="0.25">
      <c r="B481" s="3">
        <v>44633</v>
      </c>
      <c r="C481" s="2" t="s">
        <v>24</v>
      </c>
      <c r="D481" s="2" t="s">
        <v>18</v>
      </c>
      <c r="E481" s="2" t="s">
        <v>9</v>
      </c>
      <c r="F481" s="2" t="s">
        <v>14</v>
      </c>
      <c r="G481" s="2">
        <v>91</v>
      </c>
      <c r="H481" s="9">
        <v>37</v>
      </c>
    </row>
    <row r="482" spans="2:8" x14ac:dyDescent="0.25">
      <c r="B482" s="3">
        <v>44633</v>
      </c>
      <c r="C482" s="2" t="s">
        <v>19</v>
      </c>
      <c r="D482" s="2" t="s">
        <v>12</v>
      </c>
      <c r="E482" s="2" t="s">
        <v>9</v>
      </c>
      <c r="F482" s="2" t="s">
        <v>14</v>
      </c>
      <c r="G482" s="2">
        <v>71</v>
      </c>
      <c r="H482" s="9">
        <v>82</v>
      </c>
    </row>
    <row r="483" spans="2:8" x14ac:dyDescent="0.25">
      <c r="B483" s="3">
        <v>44633</v>
      </c>
      <c r="C483" s="2" t="s">
        <v>17</v>
      </c>
      <c r="D483" s="2" t="s">
        <v>18</v>
      </c>
      <c r="E483" s="2" t="s">
        <v>9</v>
      </c>
      <c r="F483" s="2" t="s">
        <v>10</v>
      </c>
      <c r="G483" s="2">
        <v>33</v>
      </c>
      <c r="H483" s="9">
        <v>75</v>
      </c>
    </row>
    <row r="484" spans="2:8" x14ac:dyDescent="0.25">
      <c r="B484" s="3">
        <v>44633</v>
      </c>
      <c r="C484" s="2" t="s">
        <v>29</v>
      </c>
      <c r="D484" s="2" t="s">
        <v>18</v>
      </c>
      <c r="E484" s="2" t="s">
        <v>9</v>
      </c>
      <c r="F484" s="2" t="s">
        <v>10</v>
      </c>
      <c r="G484" s="2">
        <v>77</v>
      </c>
      <c r="H484" s="9">
        <v>120</v>
      </c>
    </row>
    <row r="485" spans="2:8" x14ac:dyDescent="0.25">
      <c r="B485" s="3">
        <v>44633</v>
      </c>
      <c r="C485" s="2" t="s">
        <v>21</v>
      </c>
      <c r="D485" s="2" t="s">
        <v>8</v>
      </c>
      <c r="E485" s="2" t="s">
        <v>9</v>
      </c>
      <c r="F485" s="2" t="s">
        <v>14</v>
      </c>
      <c r="G485" s="2">
        <v>63</v>
      </c>
      <c r="H485" s="9">
        <v>77</v>
      </c>
    </row>
    <row r="486" spans="2:8" x14ac:dyDescent="0.25">
      <c r="B486" s="3">
        <v>44633</v>
      </c>
      <c r="C486" s="2" t="s">
        <v>21</v>
      </c>
      <c r="D486" s="2" t="s">
        <v>8</v>
      </c>
      <c r="E486" s="2" t="s">
        <v>13</v>
      </c>
      <c r="F486" s="2" t="s">
        <v>16</v>
      </c>
      <c r="G486" s="2">
        <v>31</v>
      </c>
      <c r="H486" s="9">
        <v>29</v>
      </c>
    </row>
    <row r="487" spans="2:8" x14ac:dyDescent="0.25">
      <c r="B487" s="3">
        <v>44633</v>
      </c>
      <c r="C487" s="2" t="s">
        <v>29</v>
      </c>
      <c r="D487" s="2" t="s">
        <v>18</v>
      </c>
      <c r="E487" s="2" t="s">
        <v>13</v>
      </c>
      <c r="F487" s="2" t="s">
        <v>16</v>
      </c>
      <c r="G487" s="2">
        <v>53</v>
      </c>
      <c r="H487" s="9">
        <v>104</v>
      </c>
    </row>
    <row r="488" spans="2:8" x14ac:dyDescent="0.25">
      <c r="B488" s="3">
        <v>44633</v>
      </c>
      <c r="C488" s="2" t="s">
        <v>24</v>
      </c>
      <c r="D488" s="2" t="s">
        <v>18</v>
      </c>
      <c r="E488" s="2" t="s">
        <v>9</v>
      </c>
      <c r="F488" s="2" t="s">
        <v>14</v>
      </c>
      <c r="G488" s="2">
        <v>92</v>
      </c>
      <c r="H488" s="9">
        <v>48</v>
      </c>
    </row>
    <row r="489" spans="2:8" x14ac:dyDescent="0.25">
      <c r="B489" s="3">
        <v>44633</v>
      </c>
      <c r="C489" s="2" t="s">
        <v>27</v>
      </c>
      <c r="D489" s="2" t="s">
        <v>18</v>
      </c>
      <c r="E489" s="2" t="s">
        <v>13</v>
      </c>
      <c r="F489" s="2" t="s">
        <v>16</v>
      </c>
      <c r="G489" s="2">
        <v>54</v>
      </c>
      <c r="H489" s="9">
        <v>118</v>
      </c>
    </row>
    <row r="490" spans="2:8" x14ac:dyDescent="0.25">
      <c r="B490" s="3">
        <v>44633</v>
      </c>
      <c r="C490" s="2" t="s">
        <v>24</v>
      </c>
      <c r="D490" s="2" t="s">
        <v>18</v>
      </c>
      <c r="E490" s="2" t="s">
        <v>9</v>
      </c>
      <c r="F490" s="2" t="s">
        <v>16</v>
      </c>
      <c r="G490" s="2">
        <v>92</v>
      </c>
      <c r="H490" s="9">
        <v>49</v>
      </c>
    </row>
    <row r="491" spans="2:8" x14ac:dyDescent="0.25">
      <c r="B491" s="3">
        <v>44633</v>
      </c>
      <c r="C491" s="2" t="s">
        <v>23</v>
      </c>
      <c r="D491" s="2" t="s">
        <v>18</v>
      </c>
      <c r="E491" s="2" t="s">
        <v>13</v>
      </c>
      <c r="F491" s="2" t="s">
        <v>14</v>
      </c>
      <c r="G491" s="2">
        <v>38</v>
      </c>
      <c r="H491" s="9">
        <v>150</v>
      </c>
    </row>
    <row r="492" spans="2:8" x14ac:dyDescent="0.25">
      <c r="B492" s="3">
        <v>44634</v>
      </c>
      <c r="C492" s="2" t="s">
        <v>23</v>
      </c>
      <c r="D492" s="2" t="s">
        <v>18</v>
      </c>
      <c r="E492" s="2" t="s">
        <v>9</v>
      </c>
      <c r="F492" s="2" t="s">
        <v>10</v>
      </c>
      <c r="G492" s="2">
        <v>61</v>
      </c>
      <c r="H492" s="9">
        <v>30</v>
      </c>
    </row>
    <row r="493" spans="2:8" x14ac:dyDescent="0.25">
      <c r="B493" s="3">
        <v>44634</v>
      </c>
      <c r="C493" s="2" t="s">
        <v>23</v>
      </c>
      <c r="D493" s="2" t="s">
        <v>18</v>
      </c>
      <c r="E493" s="2" t="s">
        <v>9</v>
      </c>
      <c r="F493" s="2" t="s">
        <v>14</v>
      </c>
      <c r="G493" s="2">
        <v>26</v>
      </c>
      <c r="H493" s="9">
        <v>48</v>
      </c>
    </row>
    <row r="494" spans="2:8" x14ac:dyDescent="0.25">
      <c r="B494" s="3">
        <v>44634</v>
      </c>
      <c r="C494" s="2" t="s">
        <v>23</v>
      </c>
      <c r="D494" s="2" t="s">
        <v>18</v>
      </c>
      <c r="E494" s="2" t="s">
        <v>13</v>
      </c>
      <c r="F494" s="2" t="s">
        <v>10</v>
      </c>
      <c r="G494" s="2">
        <v>14</v>
      </c>
      <c r="H494" s="9">
        <v>110</v>
      </c>
    </row>
    <row r="495" spans="2:8" x14ac:dyDescent="0.25">
      <c r="B495" s="3">
        <v>44634</v>
      </c>
      <c r="C495" s="2" t="s">
        <v>25</v>
      </c>
      <c r="D495" s="2" t="s">
        <v>12</v>
      </c>
      <c r="E495" s="2" t="s">
        <v>9</v>
      </c>
      <c r="F495" s="2" t="s">
        <v>16</v>
      </c>
      <c r="G495" s="2">
        <v>39</v>
      </c>
      <c r="H495" s="9">
        <v>20</v>
      </c>
    </row>
    <row r="496" spans="2:8" x14ac:dyDescent="0.25">
      <c r="B496" s="3">
        <v>44634</v>
      </c>
      <c r="C496" s="2" t="s">
        <v>19</v>
      </c>
      <c r="D496" s="2" t="s">
        <v>12</v>
      </c>
      <c r="E496" s="2" t="s">
        <v>9</v>
      </c>
      <c r="F496" s="2" t="s">
        <v>10</v>
      </c>
      <c r="G496" s="2">
        <v>13</v>
      </c>
      <c r="H496" s="9">
        <v>103</v>
      </c>
    </row>
    <row r="497" spans="2:8" x14ac:dyDescent="0.25">
      <c r="B497" s="3">
        <v>44634</v>
      </c>
      <c r="C497" s="2" t="s">
        <v>22</v>
      </c>
      <c r="D497" s="2" t="s">
        <v>12</v>
      </c>
      <c r="E497" s="2" t="s">
        <v>13</v>
      </c>
      <c r="F497" s="2" t="s">
        <v>10</v>
      </c>
      <c r="G497" s="2">
        <v>74</v>
      </c>
      <c r="H497" s="9">
        <v>78</v>
      </c>
    </row>
    <row r="498" spans="2:8" x14ac:dyDescent="0.25">
      <c r="B498" s="3">
        <v>44634</v>
      </c>
      <c r="C498" s="2" t="s">
        <v>27</v>
      </c>
      <c r="D498" s="2" t="s">
        <v>18</v>
      </c>
      <c r="E498" s="2" t="s">
        <v>13</v>
      </c>
      <c r="F498" s="2" t="s">
        <v>14</v>
      </c>
      <c r="G498" s="2">
        <v>86</v>
      </c>
      <c r="H498" s="9">
        <v>100</v>
      </c>
    </row>
    <row r="499" spans="2:8" x14ac:dyDescent="0.25">
      <c r="B499" s="3">
        <v>44634</v>
      </c>
      <c r="C499" s="2" t="s">
        <v>19</v>
      </c>
      <c r="D499" s="2" t="s">
        <v>12</v>
      </c>
      <c r="E499" s="2" t="s">
        <v>13</v>
      </c>
      <c r="F499" s="2" t="s">
        <v>16</v>
      </c>
      <c r="G499" s="2">
        <v>75</v>
      </c>
      <c r="H499" s="9">
        <v>106</v>
      </c>
    </row>
    <row r="500" spans="2:8" x14ac:dyDescent="0.25">
      <c r="B500" s="3">
        <v>44634</v>
      </c>
      <c r="C500" s="2" t="s">
        <v>27</v>
      </c>
      <c r="D500" s="2" t="s">
        <v>18</v>
      </c>
      <c r="E500" s="2" t="s">
        <v>13</v>
      </c>
      <c r="F500" s="2" t="s">
        <v>10</v>
      </c>
      <c r="G500" s="2">
        <v>21</v>
      </c>
      <c r="H500" s="9">
        <v>150</v>
      </c>
    </row>
    <row r="501" spans="2:8" x14ac:dyDescent="0.25">
      <c r="B501" s="3">
        <v>44634</v>
      </c>
      <c r="C501" s="2" t="s">
        <v>11</v>
      </c>
      <c r="D501" s="2" t="s">
        <v>12</v>
      </c>
      <c r="E501" s="2" t="s">
        <v>9</v>
      </c>
      <c r="F501" s="2" t="s">
        <v>16</v>
      </c>
      <c r="G501" s="2">
        <v>66</v>
      </c>
      <c r="H501" s="9">
        <v>80</v>
      </c>
    </row>
    <row r="502" spans="2:8" x14ac:dyDescent="0.25">
      <c r="B502" s="3">
        <v>44634</v>
      </c>
      <c r="C502" s="2" t="s">
        <v>25</v>
      </c>
      <c r="D502" s="2" t="s">
        <v>12</v>
      </c>
      <c r="E502" s="2" t="s">
        <v>9</v>
      </c>
      <c r="F502" s="2" t="s">
        <v>10</v>
      </c>
      <c r="G502" s="2">
        <v>22</v>
      </c>
      <c r="H502" s="9">
        <v>78</v>
      </c>
    </row>
    <row r="503" spans="2:8" x14ac:dyDescent="0.25">
      <c r="B503" s="3">
        <v>44634</v>
      </c>
      <c r="C503" s="2" t="s">
        <v>17</v>
      </c>
      <c r="D503" s="2" t="s">
        <v>18</v>
      </c>
      <c r="E503" s="2" t="s">
        <v>9</v>
      </c>
      <c r="F503" s="2" t="s">
        <v>16</v>
      </c>
      <c r="G503" s="2">
        <v>41</v>
      </c>
      <c r="H503" s="9">
        <v>25</v>
      </c>
    </row>
    <row r="504" spans="2:8" x14ac:dyDescent="0.25">
      <c r="B504" s="3">
        <v>44635</v>
      </c>
      <c r="C504" s="2" t="s">
        <v>23</v>
      </c>
      <c r="D504" s="2" t="s">
        <v>18</v>
      </c>
      <c r="E504" s="2" t="s">
        <v>9</v>
      </c>
      <c r="F504" s="2" t="s">
        <v>16</v>
      </c>
      <c r="G504" s="2">
        <v>22</v>
      </c>
      <c r="H504" s="9">
        <v>85</v>
      </c>
    </row>
    <row r="505" spans="2:8" x14ac:dyDescent="0.25">
      <c r="B505" s="3">
        <v>44635</v>
      </c>
      <c r="C505" s="2" t="s">
        <v>29</v>
      </c>
      <c r="D505" s="2" t="s">
        <v>18</v>
      </c>
      <c r="E505" s="2" t="s">
        <v>9</v>
      </c>
      <c r="F505" s="2" t="s">
        <v>14</v>
      </c>
      <c r="G505" s="2">
        <v>34</v>
      </c>
      <c r="H505" s="9">
        <v>117</v>
      </c>
    </row>
    <row r="506" spans="2:8" x14ac:dyDescent="0.25">
      <c r="B506" s="3">
        <v>44635</v>
      </c>
      <c r="C506" s="2" t="s">
        <v>28</v>
      </c>
      <c r="D506" s="2" t="s">
        <v>8</v>
      </c>
      <c r="E506" s="2" t="s">
        <v>9</v>
      </c>
      <c r="F506" s="2" t="s">
        <v>14</v>
      </c>
      <c r="G506" s="2">
        <v>63</v>
      </c>
      <c r="H506" s="9">
        <v>141</v>
      </c>
    </row>
    <row r="507" spans="2:8" x14ac:dyDescent="0.25">
      <c r="B507" s="3">
        <v>44635</v>
      </c>
      <c r="C507" s="2" t="s">
        <v>17</v>
      </c>
      <c r="D507" s="2" t="s">
        <v>18</v>
      </c>
      <c r="E507" s="2" t="s">
        <v>9</v>
      </c>
      <c r="F507" s="2" t="s">
        <v>16</v>
      </c>
      <c r="G507" s="2">
        <v>35</v>
      </c>
      <c r="H507" s="9">
        <v>44</v>
      </c>
    </row>
    <row r="508" spans="2:8" x14ac:dyDescent="0.25">
      <c r="B508" s="3">
        <v>44635</v>
      </c>
      <c r="C508" s="2" t="s">
        <v>7</v>
      </c>
      <c r="D508" s="2" t="s">
        <v>8</v>
      </c>
      <c r="E508" s="2" t="s">
        <v>13</v>
      </c>
      <c r="F508" s="2" t="s">
        <v>14</v>
      </c>
      <c r="G508" s="2">
        <v>48</v>
      </c>
      <c r="H508" s="9">
        <v>70</v>
      </c>
    </row>
    <row r="509" spans="2:8" x14ac:dyDescent="0.25">
      <c r="B509" s="3">
        <v>44635</v>
      </c>
      <c r="C509" s="2" t="s">
        <v>15</v>
      </c>
      <c r="D509" s="2" t="s">
        <v>8</v>
      </c>
      <c r="E509" s="2" t="s">
        <v>9</v>
      </c>
      <c r="F509" s="2" t="s">
        <v>10</v>
      </c>
      <c r="G509" s="2">
        <v>67</v>
      </c>
      <c r="H509" s="9">
        <v>98</v>
      </c>
    </row>
    <row r="510" spans="2:8" x14ac:dyDescent="0.25">
      <c r="B510" s="3">
        <v>44635</v>
      </c>
      <c r="C510" s="2" t="s">
        <v>24</v>
      </c>
      <c r="D510" s="2" t="s">
        <v>18</v>
      </c>
      <c r="E510" s="2" t="s">
        <v>9</v>
      </c>
      <c r="F510" s="2" t="s">
        <v>14</v>
      </c>
      <c r="G510" s="2">
        <v>76</v>
      </c>
      <c r="H510" s="9">
        <v>139</v>
      </c>
    </row>
    <row r="511" spans="2:8" x14ac:dyDescent="0.25">
      <c r="B511" s="3">
        <v>44636</v>
      </c>
      <c r="C511" s="2" t="s">
        <v>24</v>
      </c>
      <c r="D511" s="2" t="s">
        <v>18</v>
      </c>
      <c r="E511" s="2" t="s">
        <v>9</v>
      </c>
      <c r="F511" s="2" t="s">
        <v>16</v>
      </c>
      <c r="G511" s="2">
        <v>46</v>
      </c>
      <c r="H511" s="9">
        <v>28</v>
      </c>
    </row>
    <row r="512" spans="2:8" x14ac:dyDescent="0.25">
      <c r="B512" s="3">
        <v>44636</v>
      </c>
      <c r="C512" s="2" t="s">
        <v>7</v>
      </c>
      <c r="D512" s="2" t="s">
        <v>8</v>
      </c>
      <c r="E512" s="2" t="s">
        <v>13</v>
      </c>
      <c r="F512" s="2" t="s">
        <v>10</v>
      </c>
      <c r="G512" s="2">
        <v>97</v>
      </c>
      <c r="H512" s="9">
        <v>26</v>
      </c>
    </row>
    <row r="513" spans="2:8" x14ac:dyDescent="0.25">
      <c r="B513" s="3">
        <v>44636</v>
      </c>
      <c r="C513" s="2" t="s">
        <v>17</v>
      </c>
      <c r="D513" s="2" t="s">
        <v>18</v>
      </c>
      <c r="E513" s="2" t="s">
        <v>9</v>
      </c>
      <c r="F513" s="2" t="s">
        <v>10</v>
      </c>
      <c r="G513" s="2">
        <v>57</v>
      </c>
      <c r="H513" s="9">
        <v>127</v>
      </c>
    </row>
    <row r="514" spans="2:8" x14ac:dyDescent="0.25">
      <c r="B514" s="3">
        <v>44636</v>
      </c>
      <c r="C514" s="2" t="s">
        <v>11</v>
      </c>
      <c r="D514" s="2" t="s">
        <v>12</v>
      </c>
      <c r="E514" s="2" t="s">
        <v>9</v>
      </c>
      <c r="F514" s="2" t="s">
        <v>10</v>
      </c>
      <c r="G514" s="2">
        <v>54</v>
      </c>
      <c r="H514" s="9">
        <v>121</v>
      </c>
    </row>
    <row r="515" spans="2:8" x14ac:dyDescent="0.25">
      <c r="B515" s="3">
        <v>44636</v>
      </c>
      <c r="C515" s="2" t="s">
        <v>21</v>
      </c>
      <c r="D515" s="2" t="s">
        <v>8</v>
      </c>
      <c r="E515" s="2" t="s">
        <v>9</v>
      </c>
      <c r="F515" s="2" t="s">
        <v>16</v>
      </c>
      <c r="G515" s="2">
        <v>93</v>
      </c>
      <c r="H515" s="9">
        <v>51</v>
      </c>
    </row>
    <row r="516" spans="2:8" x14ac:dyDescent="0.25">
      <c r="B516" s="3">
        <v>44637</v>
      </c>
      <c r="C516" s="2" t="s">
        <v>25</v>
      </c>
      <c r="D516" s="2" t="s">
        <v>12</v>
      </c>
      <c r="E516" s="2" t="s">
        <v>9</v>
      </c>
      <c r="F516" s="2" t="s">
        <v>14</v>
      </c>
      <c r="G516" s="2">
        <v>38</v>
      </c>
      <c r="H516" s="9">
        <v>20</v>
      </c>
    </row>
    <row r="517" spans="2:8" x14ac:dyDescent="0.25">
      <c r="B517" s="3">
        <v>44637</v>
      </c>
      <c r="C517" s="2" t="s">
        <v>26</v>
      </c>
      <c r="D517" s="2" t="s">
        <v>12</v>
      </c>
      <c r="E517" s="2" t="s">
        <v>13</v>
      </c>
      <c r="F517" s="2" t="s">
        <v>16</v>
      </c>
      <c r="G517" s="2">
        <v>79</v>
      </c>
      <c r="H517" s="9">
        <v>77</v>
      </c>
    </row>
    <row r="518" spans="2:8" x14ac:dyDescent="0.25">
      <c r="B518" s="3">
        <v>44637</v>
      </c>
      <c r="C518" s="2" t="s">
        <v>22</v>
      </c>
      <c r="D518" s="2" t="s">
        <v>12</v>
      </c>
      <c r="E518" s="2" t="s">
        <v>9</v>
      </c>
      <c r="F518" s="2" t="s">
        <v>10</v>
      </c>
      <c r="G518" s="2">
        <v>79</v>
      </c>
      <c r="H518" s="9">
        <v>91</v>
      </c>
    </row>
    <row r="519" spans="2:8" x14ac:dyDescent="0.25">
      <c r="B519" s="3">
        <v>44638</v>
      </c>
      <c r="C519" s="2" t="s">
        <v>27</v>
      </c>
      <c r="D519" s="2" t="s">
        <v>18</v>
      </c>
      <c r="E519" s="2" t="s">
        <v>9</v>
      </c>
      <c r="F519" s="2" t="s">
        <v>10</v>
      </c>
      <c r="G519" s="2">
        <v>90</v>
      </c>
      <c r="H519" s="9">
        <v>78</v>
      </c>
    </row>
    <row r="520" spans="2:8" x14ac:dyDescent="0.25">
      <c r="B520" s="3">
        <v>44638</v>
      </c>
      <c r="C520" s="2" t="s">
        <v>27</v>
      </c>
      <c r="D520" s="2" t="s">
        <v>18</v>
      </c>
      <c r="E520" s="2" t="s">
        <v>9</v>
      </c>
      <c r="F520" s="2" t="s">
        <v>16</v>
      </c>
      <c r="G520" s="2">
        <v>74</v>
      </c>
      <c r="H520" s="9">
        <v>40</v>
      </c>
    </row>
    <row r="521" spans="2:8" x14ac:dyDescent="0.25">
      <c r="B521" s="3">
        <v>44638</v>
      </c>
      <c r="C521" s="2" t="s">
        <v>25</v>
      </c>
      <c r="D521" s="2" t="s">
        <v>12</v>
      </c>
      <c r="E521" s="2" t="s">
        <v>13</v>
      </c>
      <c r="F521" s="2" t="s">
        <v>10</v>
      </c>
      <c r="G521" s="2">
        <v>88</v>
      </c>
      <c r="H521" s="9">
        <v>61</v>
      </c>
    </row>
    <row r="522" spans="2:8" x14ac:dyDescent="0.25">
      <c r="B522" s="3">
        <v>44638</v>
      </c>
      <c r="C522" s="2" t="s">
        <v>7</v>
      </c>
      <c r="D522" s="2" t="s">
        <v>8</v>
      </c>
      <c r="E522" s="2" t="s">
        <v>13</v>
      </c>
      <c r="F522" s="2" t="s">
        <v>16</v>
      </c>
      <c r="G522" s="2">
        <v>60</v>
      </c>
      <c r="H522" s="9">
        <v>57</v>
      </c>
    </row>
    <row r="523" spans="2:8" x14ac:dyDescent="0.25">
      <c r="B523" s="3">
        <v>44639</v>
      </c>
      <c r="C523" s="2" t="s">
        <v>20</v>
      </c>
      <c r="D523" s="2" t="s">
        <v>8</v>
      </c>
      <c r="E523" s="2" t="s">
        <v>9</v>
      </c>
      <c r="F523" s="2" t="s">
        <v>14</v>
      </c>
      <c r="G523" s="2">
        <v>46</v>
      </c>
      <c r="H523" s="9">
        <v>82</v>
      </c>
    </row>
    <row r="524" spans="2:8" x14ac:dyDescent="0.25">
      <c r="B524" s="3">
        <v>44639</v>
      </c>
      <c r="C524" s="2" t="s">
        <v>11</v>
      </c>
      <c r="D524" s="2" t="s">
        <v>12</v>
      </c>
      <c r="E524" s="2" t="s">
        <v>9</v>
      </c>
      <c r="F524" s="2" t="s">
        <v>16</v>
      </c>
      <c r="G524" s="2">
        <v>94</v>
      </c>
      <c r="H524" s="9">
        <v>101</v>
      </c>
    </row>
    <row r="525" spans="2:8" x14ac:dyDescent="0.25">
      <c r="B525" s="3">
        <v>44639</v>
      </c>
      <c r="C525" s="2" t="s">
        <v>27</v>
      </c>
      <c r="D525" s="2" t="s">
        <v>18</v>
      </c>
      <c r="E525" s="2" t="s">
        <v>9</v>
      </c>
      <c r="F525" s="2" t="s">
        <v>16</v>
      </c>
      <c r="G525" s="2">
        <v>28</v>
      </c>
      <c r="H525" s="9">
        <v>45</v>
      </c>
    </row>
    <row r="526" spans="2:8" x14ac:dyDescent="0.25">
      <c r="B526" s="3">
        <v>44639</v>
      </c>
      <c r="C526" s="2" t="s">
        <v>28</v>
      </c>
      <c r="D526" s="2" t="s">
        <v>8</v>
      </c>
      <c r="E526" s="2" t="s">
        <v>13</v>
      </c>
      <c r="F526" s="2" t="s">
        <v>14</v>
      </c>
      <c r="G526" s="2">
        <v>53</v>
      </c>
      <c r="H526" s="9">
        <v>134</v>
      </c>
    </row>
    <row r="527" spans="2:8" x14ac:dyDescent="0.25">
      <c r="B527" s="3">
        <v>44639</v>
      </c>
      <c r="C527" s="2" t="s">
        <v>29</v>
      </c>
      <c r="D527" s="2" t="s">
        <v>18</v>
      </c>
      <c r="E527" s="2" t="s">
        <v>13</v>
      </c>
      <c r="F527" s="2" t="s">
        <v>16</v>
      </c>
      <c r="G527" s="2">
        <v>55</v>
      </c>
      <c r="H527" s="9">
        <v>82</v>
      </c>
    </row>
    <row r="528" spans="2:8" x14ac:dyDescent="0.25">
      <c r="B528" s="3">
        <v>44640</v>
      </c>
      <c r="C528" s="2" t="s">
        <v>24</v>
      </c>
      <c r="D528" s="2" t="s">
        <v>18</v>
      </c>
      <c r="E528" s="2" t="s">
        <v>13</v>
      </c>
      <c r="F528" s="2" t="s">
        <v>16</v>
      </c>
      <c r="G528" s="2">
        <v>59</v>
      </c>
      <c r="H528" s="9">
        <v>95</v>
      </c>
    </row>
    <row r="529" spans="2:8" x14ac:dyDescent="0.25">
      <c r="B529" s="3">
        <v>44640</v>
      </c>
      <c r="C529" s="2" t="s">
        <v>15</v>
      </c>
      <c r="D529" s="2" t="s">
        <v>8</v>
      </c>
      <c r="E529" s="2" t="s">
        <v>13</v>
      </c>
      <c r="F529" s="2" t="s">
        <v>16</v>
      </c>
      <c r="G529" s="2">
        <v>23</v>
      </c>
      <c r="H529" s="9">
        <v>67</v>
      </c>
    </row>
    <row r="530" spans="2:8" x14ac:dyDescent="0.25">
      <c r="B530" s="3">
        <v>44640</v>
      </c>
      <c r="C530" s="2" t="s">
        <v>25</v>
      </c>
      <c r="D530" s="2" t="s">
        <v>12</v>
      </c>
      <c r="E530" s="2" t="s">
        <v>9</v>
      </c>
      <c r="F530" s="2" t="s">
        <v>14</v>
      </c>
      <c r="G530" s="2">
        <v>64</v>
      </c>
      <c r="H530" s="9">
        <v>112</v>
      </c>
    </row>
    <row r="531" spans="2:8" x14ac:dyDescent="0.25">
      <c r="B531" s="3">
        <v>44640</v>
      </c>
      <c r="C531" s="2" t="s">
        <v>25</v>
      </c>
      <c r="D531" s="2" t="s">
        <v>12</v>
      </c>
      <c r="E531" s="2" t="s">
        <v>13</v>
      </c>
      <c r="F531" s="2" t="s">
        <v>10</v>
      </c>
      <c r="G531" s="2">
        <v>85</v>
      </c>
      <c r="H531" s="9">
        <v>129</v>
      </c>
    </row>
    <row r="532" spans="2:8" x14ac:dyDescent="0.25">
      <c r="B532" s="3">
        <v>44640</v>
      </c>
      <c r="C532" s="2" t="s">
        <v>11</v>
      </c>
      <c r="D532" s="2" t="s">
        <v>12</v>
      </c>
      <c r="E532" s="2" t="s">
        <v>13</v>
      </c>
      <c r="F532" s="2" t="s">
        <v>16</v>
      </c>
      <c r="G532" s="2">
        <v>74</v>
      </c>
      <c r="H532" s="9">
        <v>66</v>
      </c>
    </row>
    <row r="533" spans="2:8" x14ac:dyDescent="0.25">
      <c r="B533" s="3">
        <v>44640</v>
      </c>
      <c r="C533" s="2" t="s">
        <v>23</v>
      </c>
      <c r="D533" s="2" t="s">
        <v>18</v>
      </c>
      <c r="E533" s="2" t="s">
        <v>9</v>
      </c>
      <c r="F533" s="2" t="s">
        <v>14</v>
      </c>
      <c r="G533" s="2">
        <v>32</v>
      </c>
      <c r="H533" s="9">
        <v>120</v>
      </c>
    </row>
    <row r="534" spans="2:8" x14ac:dyDescent="0.25">
      <c r="B534" s="3">
        <v>44640</v>
      </c>
      <c r="C534" s="2" t="s">
        <v>28</v>
      </c>
      <c r="D534" s="2" t="s">
        <v>8</v>
      </c>
      <c r="E534" s="2" t="s">
        <v>13</v>
      </c>
      <c r="F534" s="2" t="s">
        <v>10</v>
      </c>
      <c r="G534" s="2">
        <v>95</v>
      </c>
      <c r="H534" s="9">
        <v>116</v>
      </c>
    </row>
    <row r="535" spans="2:8" x14ac:dyDescent="0.25">
      <c r="B535" s="3">
        <v>44641</v>
      </c>
      <c r="C535" s="2" t="s">
        <v>19</v>
      </c>
      <c r="D535" s="2" t="s">
        <v>12</v>
      </c>
      <c r="E535" s="2" t="s">
        <v>9</v>
      </c>
      <c r="F535" s="2" t="s">
        <v>14</v>
      </c>
      <c r="G535" s="2">
        <v>17</v>
      </c>
      <c r="H535" s="9">
        <v>74</v>
      </c>
    </row>
    <row r="536" spans="2:8" x14ac:dyDescent="0.25">
      <c r="B536" s="3">
        <v>44641</v>
      </c>
      <c r="C536" s="2" t="s">
        <v>29</v>
      </c>
      <c r="D536" s="2" t="s">
        <v>18</v>
      </c>
      <c r="E536" s="2" t="s">
        <v>9</v>
      </c>
      <c r="F536" s="2" t="s">
        <v>10</v>
      </c>
      <c r="G536" s="2">
        <v>90</v>
      </c>
      <c r="H536" s="9">
        <v>145</v>
      </c>
    </row>
    <row r="537" spans="2:8" x14ac:dyDescent="0.25">
      <c r="B537" s="3">
        <v>44641</v>
      </c>
      <c r="C537" s="2" t="s">
        <v>29</v>
      </c>
      <c r="D537" s="2" t="s">
        <v>18</v>
      </c>
      <c r="E537" s="2" t="s">
        <v>9</v>
      </c>
      <c r="F537" s="2" t="s">
        <v>10</v>
      </c>
      <c r="G537" s="2">
        <v>27</v>
      </c>
      <c r="H537" s="9">
        <v>56</v>
      </c>
    </row>
    <row r="538" spans="2:8" x14ac:dyDescent="0.25">
      <c r="B538" s="3">
        <v>44641</v>
      </c>
      <c r="C538" s="2" t="s">
        <v>21</v>
      </c>
      <c r="D538" s="2" t="s">
        <v>8</v>
      </c>
      <c r="E538" s="2" t="s">
        <v>13</v>
      </c>
      <c r="F538" s="2" t="s">
        <v>10</v>
      </c>
      <c r="G538" s="2">
        <v>38</v>
      </c>
      <c r="H538" s="9">
        <v>22</v>
      </c>
    </row>
    <row r="539" spans="2:8" x14ac:dyDescent="0.25">
      <c r="B539" s="3">
        <v>44641</v>
      </c>
      <c r="C539" s="2" t="s">
        <v>23</v>
      </c>
      <c r="D539" s="2" t="s">
        <v>18</v>
      </c>
      <c r="E539" s="2" t="s">
        <v>9</v>
      </c>
      <c r="F539" s="2" t="s">
        <v>16</v>
      </c>
      <c r="G539" s="2">
        <v>89</v>
      </c>
      <c r="H539" s="9">
        <v>21</v>
      </c>
    </row>
    <row r="540" spans="2:8" x14ac:dyDescent="0.25">
      <c r="B540" s="3">
        <v>44641</v>
      </c>
      <c r="C540" s="2" t="s">
        <v>24</v>
      </c>
      <c r="D540" s="2" t="s">
        <v>18</v>
      </c>
      <c r="E540" s="2" t="s">
        <v>9</v>
      </c>
      <c r="F540" s="2" t="s">
        <v>10</v>
      </c>
      <c r="G540" s="2">
        <v>80</v>
      </c>
      <c r="H540" s="9">
        <v>109</v>
      </c>
    </row>
    <row r="541" spans="2:8" x14ac:dyDescent="0.25">
      <c r="B541" s="3">
        <v>44642</v>
      </c>
      <c r="C541" s="2" t="s">
        <v>11</v>
      </c>
      <c r="D541" s="2" t="s">
        <v>12</v>
      </c>
      <c r="E541" s="2" t="s">
        <v>9</v>
      </c>
      <c r="F541" s="2" t="s">
        <v>10</v>
      </c>
      <c r="G541" s="2">
        <v>26</v>
      </c>
      <c r="H541" s="9">
        <v>50</v>
      </c>
    </row>
    <row r="542" spans="2:8" x14ac:dyDescent="0.25">
      <c r="B542" s="3">
        <v>44642</v>
      </c>
      <c r="C542" s="2" t="s">
        <v>22</v>
      </c>
      <c r="D542" s="2" t="s">
        <v>12</v>
      </c>
      <c r="E542" s="2" t="s">
        <v>13</v>
      </c>
      <c r="F542" s="2" t="s">
        <v>10</v>
      </c>
      <c r="G542" s="2">
        <v>95</v>
      </c>
      <c r="H542" s="9">
        <v>59</v>
      </c>
    </row>
    <row r="543" spans="2:8" x14ac:dyDescent="0.25">
      <c r="B543" s="3">
        <v>44642</v>
      </c>
      <c r="C543" s="2" t="s">
        <v>19</v>
      </c>
      <c r="D543" s="2" t="s">
        <v>12</v>
      </c>
      <c r="E543" s="2" t="s">
        <v>13</v>
      </c>
      <c r="F543" s="2" t="s">
        <v>16</v>
      </c>
      <c r="G543" s="2">
        <v>76</v>
      </c>
      <c r="H543" s="9">
        <v>137</v>
      </c>
    </row>
    <row r="544" spans="2:8" x14ac:dyDescent="0.25">
      <c r="B544" s="3">
        <v>44642</v>
      </c>
      <c r="C544" s="2" t="s">
        <v>20</v>
      </c>
      <c r="D544" s="2" t="s">
        <v>8</v>
      </c>
      <c r="E544" s="2" t="s">
        <v>9</v>
      </c>
      <c r="F544" s="2" t="s">
        <v>16</v>
      </c>
      <c r="G544" s="2">
        <v>43</v>
      </c>
      <c r="H544" s="9">
        <v>144</v>
      </c>
    </row>
    <row r="545" spans="2:8" x14ac:dyDescent="0.25">
      <c r="B545" s="3">
        <v>44642</v>
      </c>
      <c r="C545" s="2" t="s">
        <v>11</v>
      </c>
      <c r="D545" s="2" t="s">
        <v>12</v>
      </c>
      <c r="E545" s="2" t="s">
        <v>9</v>
      </c>
      <c r="F545" s="2" t="s">
        <v>10</v>
      </c>
      <c r="G545" s="2">
        <v>87</v>
      </c>
      <c r="H545" s="9">
        <v>150</v>
      </c>
    </row>
    <row r="546" spans="2:8" x14ac:dyDescent="0.25">
      <c r="B546" s="3">
        <v>44642</v>
      </c>
      <c r="C546" s="2" t="s">
        <v>25</v>
      </c>
      <c r="D546" s="2" t="s">
        <v>12</v>
      </c>
      <c r="E546" s="2" t="s">
        <v>13</v>
      </c>
      <c r="F546" s="2" t="s">
        <v>16</v>
      </c>
      <c r="G546" s="2">
        <v>98</v>
      </c>
      <c r="H546" s="9">
        <v>77</v>
      </c>
    </row>
    <row r="547" spans="2:8" x14ac:dyDescent="0.25">
      <c r="B547" s="3">
        <v>44643</v>
      </c>
      <c r="C547" s="2" t="s">
        <v>25</v>
      </c>
      <c r="D547" s="2" t="s">
        <v>12</v>
      </c>
      <c r="E547" s="2" t="s">
        <v>9</v>
      </c>
      <c r="F547" s="2" t="s">
        <v>16</v>
      </c>
      <c r="G547" s="2">
        <v>97</v>
      </c>
      <c r="H547" s="9">
        <v>129</v>
      </c>
    </row>
    <row r="548" spans="2:8" x14ac:dyDescent="0.25">
      <c r="B548" s="3">
        <v>44643</v>
      </c>
      <c r="C548" s="2" t="s">
        <v>20</v>
      </c>
      <c r="D548" s="2" t="s">
        <v>8</v>
      </c>
      <c r="E548" s="2" t="s">
        <v>9</v>
      </c>
      <c r="F548" s="2" t="s">
        <v>16</v>
      </c>
      <c r="G548" s="2">
        <v>18</v>
      </c>
      <c r="H548" s="9">
        <v>36</v>
      </c>
    </row>
    <row r="549" spans="2:8" x14ac:dyDescent="0.25">
      <c r="B549" s="3">
        <v>44643</v>
      </c>
      <c r="C549" s="2" t="s">
        <v>27</v>
      </c>
      <c r="D549" s="2" t="s">
        <v>18</v>
      </c>
      <c r="E549" s="2" t="s">
        <v>9</v>
      </c>
      <c r="F549" s="2" t="s">
        <v>14</v>
      </c>
      <c r="G549" s="2">
        <v>46</v>
      </c>
      <c r="H549" s="9">
        <v>118</v>
      </c>
    </row>
    <row r="550" spans="2:8" x14ac:dyDescent="0.25">
      <c r="B550" s="3">
        <v>44643</v>
      </c>
      <c r="C550" s="2" t="s">
        <v>20</v>
      </c>
      <c r="D550" s="2" t="s">
        <v>8</v>
      </c>
      <c r="E550" s="2" t="s">
        <v>9</v>
      </c>
      <c r="F550" s="2" t="s">
        <v>14</v>
      </c>
      <c r="G550" s="2">
        <v>60</v>
      </c>
      <c r="H550" s="9">
        <v>104</v>
      </c>
    </row>
    <row r="551" spans="2:8" x14ac:dyDescent="0.25">
      <c r="B551" s="3">
        <v>44643</v>
      </c>
      <c r="C551" s="2" t="s">
        <v>21</v>
      </c>
      <c r="D551" s="2" t="s">
        <v>8</v>
      </c>
      <c r="E551" s="2" t="s">
        <v>9</v>
      </c>
      <c r="F551" s="2" t="s">
        <v>16</v>
      </c>
      <c r="G551" s="2">
        <v>48</v>
      </c>
      <c r="H551" s="9">
        <v>118</v>
      </c>
    </row>
    <row r="552" spans="2:8" x14ac:dyDescent="0.25">
      <c r="B552" s="3">
        <v>44643</v>
      </c>
      <c r="C552" s="2" t="s">
        <v>29</v>
      </c>
      <c r="D552" s="2" t="s">
        <v>18</v>
      </c>
      <c r="E552" s="2" t="s">
        <v>9</v>
      </c>
      <c r="F552" s="2" t="s">
        <v>14</v>
      </c>
      <c r="G552" s="2">
        <v>67</v>
      </c>
      <c r="H552" s="9">
        <v>58</v>
      </c>
    </row>
    <row r="553" spans="2:8" x14ac:dyDescent="0.25">
      <c r="B553" s="3">
        <v>44643</v>
      </c>
      <c r="C553" s="2" t="s">
        <v>24</v>
      </c>
      <c r="D553" s="2" t="s">
        <v>18</v>
      </c>
      <c r="E553" s="2" t="s">
        <v>9</v>
      </c>
      <c r="F553" s="2" t="s">
        <v>14</v>
      </c>
      <c r="G553" s="2">
        <v>47</v>
      </c>
      <c r="H553" s="9">
        <v>128</v>
      </c>
    </row>
    <row r="554" spans="2:8" x14ac:dyDescent="0.25">
      <c r="B554" s="3">
        <v>44644</v>
      </c>
      <c r="C554" s="2" t="s">
        <v>19</v>
      </c>
      <c r="D554" s="2" t="s">
        <v>12</v>
      </c>
      <c r="E554" s="2" t="s">
        <v>13</v>
      </c>
      <c r="F554" s="2" t="s">
        <v>16</v>
      </c>
      <c r="G554" s="2">
        <v>61</v>
      </c>
      <c r="H554" s="9">
        <v>59</v>
      </c>
    </row>
    <row r="555" spans="2:8" x14ac:dyDescent="0.25">
      <c r="B555" s="3">
        <v>44644</v>
      </c>
      <c r="C555" s="2" t="s">
        <v>27</v>
      </c>
      <c r="D555" s="2" t="s">
        <v>18</v>
      </c>
      <c r="E555" s="2" t="s">
        <v>13</v>
      </c>
      <c r="F555" s="2" t="s">
        <v>16</v>
      </c>
      <c r="G555" s="2">
        <v>25</v>
      </c>
      <c r="H555" s="9">
        <v>78</v>
      </c>
    </row>
    <row r="556" spans="2:8" x14ac:dyDescent="0.25">
      <c r="B556" s="3">
        <v>44644</v>
      </c>
      <c r="C556" s="2" t="s">
        <v>7</v>
      </c>
      <c r="D556" s="2" t="s">
        <v>8</v>
      </c>
      <c r="E556" s="2" t="s">
        <v>13</v>
      </c>
      <c r="F556" s="2" t="s">
        <v>10</v>
      </c>
      <c r="G556" s="2">
        <v>93</v>
      </c>
      <c r="H556" s="9">
        <v>35</v>
      </c>
    </row>
    <row r="557" spans="2:8" x14ac:dyDescent="0.25">
      <c r="B557" s="3">
        <v>44644</v>
      </c>
      <c r="C557" s="2" t="s">
        <v>15</v>
      </c>
      <c r="D557" s="2" t="s">
        <v>8</v>
      </c>
      <c r="E557" s="2" t="s">
        <v>9</v>
      </c>
      <c r="F557" s="2" t="s">
        <v>16</v>
      </c>
      <c r="G557" s="2">
        <v>35</v>
      </c>
      <c r="H557" s="9">
        <v>20</v>
      </c>
    </row>
    <row r="558" spans="2:8" x14ac:dyDescent="0.25">
      <c r="B558" s="3">
        <v>44644</v>
      </c>
      <c r="C558" s="2" t="s">
        <v>17</v>
      </c>
      <c r="D558" s="2" t="s">
        <v>18</v>
      </c>
      <c r="E558" s="2" t="s">
        <v>9</v>
      </c>
      <c r="F558" s="2" t="s">
        <v>16</v>
      </c>
      <c r="G558" s="2">
        <v>37</v>
      </c>
      <c r="H558" s="9">
        <v>118</v>
      </c>
    </row>
    <row r="559" spans="2:8" x14ac:dyDescent="0.25">
      <c r="B559" s="3">
        <v>44644</v>
      </c>
      <c r="C559" s="2" t="s">
        <v>25</v>
      </c>
      <c r="D559" s="2" t="s">
        <v>12</v>
      </c>
      <c r="E559" s="2" t="s">
        <v>13</v>
      </c>
      <c r="F559" s="2" t="s">
        <v>14</v>
      </c>
      <c r="G559" s="2">
        <v>94</v>
      </c>
      <c r="H559" s="9">
        <v>97</v>
      </c>
    </row>
    <row r="560" spans="2:8" x14ac:dyDescent="0.25">
      <c r="B560" s="3">
        <v>44644</v>
      </c>
      <c r="C560" s="2" t="s">
        <v>24</v>
      </c>
      <c r="D560" s="2" t="s">
        <v>18</v>
      </c>
      <c r="E560" s="2" t="s">
        <v>13</v>
      </c>
      <c r="F560" s="2" t="s">
        <v>16</v>
      </c>
      <c r="G560" s="2">
        <v>61</v>
      </c>
      <c r="H560" s="9">
        <v>103</v>
      </c>
    </row>
    <row r="561" spans="2:8" x14ac:dyDescent="0.25">
      <c r="B561" s="3">
        <v>44644</v>
      </c>
      <c r="C561" s="2" t="s">
        <v>25</v>
      </c>
      <c r="D561" s="2" t="s">
        <v>12</v>
      </c>
      <c r="E561" s="2" t="s">
        <v>13</v>
      </c>
      <c r="F561" s="2" t="s">
        <v>14</v>
      </c>
      <c r="G561" s="2">
        <v>57</v>
      </c>
      <c r="H561" s="9">
        <v>121</v>
      </c>
    </row>
    <row r="562" spans="2:8" x14ac:dyDescent="0.25">
      <c r="B562" s="3">
        <v>44644</v>
      </c>
      <c r="C562" s="2" t="s">
        <v>11</v>
      </c>
      <c r="D562" s="2" t="s">
        <v>12</v>
      </c>
      <c r="E562" s="2" t="s">
        <v>13</v>
      </c>
      <c r="F562" s="2" t="s">
        <v>14</v>
      </c>
      <c r="G562" s="2">
        <v>58</v>
      </c>
      <c r="H562" s="9">
        <v>121</v>
      </c>
    </row>
    <row r="563" spans="2:8" x14ac:dyDescent="0.25">
      <c r="B563" s="3">
        <v>44644</v>
      </c>
      <c r="C563" s="2" t="s">
        <v>23</v>
      </c>
      <c r="D563" s="2" t="s">
        <v>18</v>
      </c>
      <c r="E563" s="2" t="s">
        <v>13</v>
      </c>
      <c r="F563" s="2" t="s">
        <v>16</v>
      </c>
      <c r="G563" s="2">
        <v>58</v>
      </c>
      <c r="H563" s="9">
        <v>80</v>
      </c>
    </row>
    <row r="564" spans="2:8" x14ac:dyDescent="0.25">
      <c r="B564" s="3">
        <v>44645</v>
      </c>
      <c r="C564" s="2" t="s">
        <v>22</v>
      </c>
      <c r="D564" s="2" t="s">
        <v>12</v>
      </c>
      <c r="E564" s="2" t="s">
        <v>13</v>
      </c>
      <c r="F564" s="2" t="s">
        <v>14</v>
      </c>
      <c r="G564" s="2">
        <v>17</v>
      </c>
      <c r="H564" s="9">
        <v>83</v>
      </c>
    </row>
    <row r="565" spans="2:8" x14ac:dyDescent="0.25">
      <c r="B565" s="3">
        <v>44645</v>
      </c>
      <c r="C565" s="2" t="s">
        <v>28</v>
      </c>
      <c r="D565" s="2" t="s">
        <v>8</v>
      </c>
      <c r="E565" s="2" t="s">
        <v>13</v>
      </c>
      <c r="F565" s="2" t="s">
        <v>14</v>
      </c>
      <c r="G565" s="2">
        <v>85</v>
      </c>
      <c r="H565" s="9">
        <v>21</v>
      </c>
    </row>
    <row r="566" spans="2:8" x14ac:dyDescent="0.25">
      <c r="B566" s="3">
        <v>44646</v>
      </c>
      <c r="C566" s="2" t="s">
        <v>17</v>
      </c>
      <c r="D566" s="2" t="s">
        <v>18</v>
      </c>
      <c r="E566" s="2" t="s">
        <v>13</v>
      </c>
      <c r="F566" s="2" t="s">
        <v>16</v>
      </c>
      <c r="G566" s="2">
        <v>65</v>
      </c>
      <c r="H566" s="9">
        <v>69</v>
      </c>
    </row>
    <row r="567" spans="2:8" x14ac:dyDescent="0.25">
      <c r="B567" s="3">
        <v>44646</v>
      </c>
      <c r="C567" s="2" t="s">
        <v>23</v>
      </c>
      <c r="D567" s="2" t="s">
        <v>18</v>
      </c>
      <c r="E567" s="2" t="s">
        <v>13</v>
      </c>
      <c r="F567" s="2" t="s">
        <v>14</v>
      </c>
      <c r="G567" s="2">
        <v>54</v>
      </c>
      <c r="H567" s="9">
        <v>59</v>
      </c>
    </row>
    <row r="568" spans="2:8" x14ac:dyDescent="0.25">
      <c r="B568" s="3">
        <v>44646</v>
      </c>
      <c r="C568" s="2" t="s">
        <v>25</v>
      </c>
      <c r="D568" s="2" t="s">
        <v>12</v>
      </c>
      <c r="E568" s="2" t="s">
        <v>9</v>
      </c>
      <c r="F568" s="2" t="s">
        <v>10</v>
      </c>
      <c r="G568" s="2">
        <v>84</v>
      </c>
      <c r="H568" s="9">
        <v>41</v>
      </c>
    </row>
    <row r="569" spans="2:8" x14ac:dyDescent="0.25">
      <c r="B569" s="3">
        <v>44646</v>
      </c>
      <c r="C569" s="2" t="s">
        <v>29</v>
      </c>
      <c r="D569" s="2" t="s">
        <v>18</v>
      </c>
      <c r="E569" s="2" t="s">
        <v>13</v>
      </c>
      <c r="F569" s="2" t="s">
        <v>16</v>
      </c>
      <c r="G569" s="2">
        <v>33</v>
      </c>
      <c r="H569" s="9">
        <v>121</v>
      </c>
    </row>
    <row r="570" spans="2:8" x14ac:dyDescent="0.25">
      <c r="B570" s="3">
        <v>44646</v>
      </c>
      <c r="C570" s="2" t="s">
        <v>27</v>
      </c>
      <c r="D570" s="2" t="s">
        <v>18</v>
      </c>
      <c r="E570" s="2" t="s">
        <v>9</v>
      </c>
      <c r="F570" s="2" t="s">
        <v>10</v>
      </c>
      <c r="G570" s="2">
        <v>22</v>
      </c>
      <c r="H570" s="9">
        <v>106</v>
      </c>
    </row>
    <row r="571" spans="2:8" x14ac:dyDescent="0.25">
      <c r="B571" s="3">
        <v>44646</v>
      </c>
      <c r="C571" s="2" t="s">
        <v>29</v>
      </c>
      <c r="D571" s="2" t="s">
        <v>18</v>
      </c>
      <c r="E571" s="2" t="s">
        <v>9</v>
      </c>
      <c r="F571" s="2" t="s">
        <v>14</v>
      </c>
      <c r="G571" s="2">
        <v>32</v>
      </c>
      <c r="H571" s="9">
        <v>89</v>
      </c>
    </row>
    <row r="572" spans="2:8" x14ac:dyDescent="0.25">
      <c r="B572" s="3">
        <v>44646</v>
      </c>
      <c r="C572" s="2" t="s">
        <v>26</v>
      </c>
      <c r="D572" s="2" t="s">
        <v>12</v>
      </c>
      <c r="E572" s="2" t="s">
        <v>13</v>
      </c>
      <c r="F572" s="2" t="s">
        <v>10</v>
      </c>
      <c r="G572" s="2">
        <v>100</v>
      </c>
      <c r="H572" s="9">
        <v>75</v>
      </c>
    </row>
    <row r="573" spans="2:8" x14ac:dyDescent="0.25">
      <c r="B573" s="3">
        <v>44646</v>
      </c>
      <c r="C573" s="2" t="s">
        <v>29</v>
      </c>
      <c r="D573" s="2" t="s">
        <v>18</v>
      </c>
      <c r="E573" s="2" t="s">
        <v>13</v>
      </c>
      <c r="F573" s="2" t="s">
        <v>10</v>
      </c>
      <c r="G573" s="2">
        <v>100</v>
      </c>
      <c r="H573" s="9">
        <v>62</v>
      </c>
    </row>
    <row r="574" spans="2:8" x14ac:dyDescent="0.25">
      <c r="B574" s="3">
        <v>44647</v>
      </c>
      <c r="C574" s="2" t="s">
        <v>23</v>
      </c>
      <c r="D574" s="2" t="s">
        <v>18</v>
      </c>
      <c r="E574" s="2" t="s">
        <v>13</v>
      </c>
      <c r="F574" s="2" t="s">
        <v>10</v>
      </c>
      <c r="G574" s="2">
        <v>17</v>
      </c>
      <c r="H574" s="9">
        <v>106</v>
      </c>
    </row>
    <row r="575" spans="2:8" x14ac:dyDescent="0.25">
      <c r="B575" s="3">
        <v>44647</v>
      </c>
      <c r="C575" s="2" t="s">
        <v>28</v>
      </c>
      <c r="D575" s="2" t="s">
        <v>8</v>
      </c>
      <c r="E575" s="2" t="s">
        <v>9</v>
      </c>
      <c r="F575" s="2" t="s">
        <v>14</v>
      </c>
      <c r="G575" s="2">
        <v>48</v>
      </c>
      <c r="H575" s="9">
        <v>101</v>
      </c>
    </row>
    <row r="576" spans="2:8" x14ac:dyDescent="0.25">
      <c r="B576" s="3">
        <v>44647</v>
      </c>
      <c r="C576" s="2" t="s">
        <v>22</v>
      </c>
      <c r="D576" s="2" t="s">
        <v>12</v>
      </c>
      <c r="E576" s="2" t="s">
        <v>13</v>
      </c>
      <c r="F576" s="2" t="s">
        <v>10</v>
      </c>
      <c r="G576" s="2">
        <v>22</v>
      </c>
      <c r="H576" s="9">
        <v>77</v>
      </c>
    </row>
    <row r="577" spans="2:8" x14ac:dyDescent="0.25">
      <c r="B577" s="3">
        <v>44647</v>
      </c>
      <c r="C577" s="2" t="s">
        <v>28</v>
      </c>
      <c r="D577" s="2" t="s">
        <v>8</v>
      </c>
      <c r="E577" s="2" t="s">
        <v>13</v>
      </c>
      <c r="F577" s="2" t="s">
        <v>10</v>
      </c>
      <c r="G577" s="2">
        <v>91</v>
      </c>
      <c r="H577" s="9">
        <v>96</v>
      </c>
    </row>
    <row r="578" spans="2:8" x14ac:dyDescent="0.25">
      <c r="B578" s="3">
        <v>44647</v>
      </c>
      <c r="C578" s="2" t="s">
        <v>17</v>
      </c>
      <c r="D578" s="2" t="s">
        <v>18</v>
      </c>
      <c r="E578" s="2" t="s">
        <v>13</v>
      </c>
      <c r="F578" s="2" t="s">
        <v>16</v>
      </c>
      <c r="G578" s="2">
        <v>90</v>
      </c>
      <c r="H578" s="9">
        <v>20</v>
      </c>
    </row>
    <row r="579" spans="2:8" x14ac:dyDescent="0.25">
      <c r="B579" s="3">
        <v>44647</v>
      </c>
      <c r="C579" s="2" t="s">
        <v>25</v>
      </c>
      <c r="D579" s="2" t="s">
        <v>12</v>
      </c>
      <c r="E579" s="2" t="s">
        <v>13</v>
      </c>
      <c r="F579" s="2" t="s">
        <v>10</v>
      </c>
      <c r="G579" s="2">
        <v>99</v>
      </c>
      <c r="H579" s="9">
        <v>89</v>
      </c>
    </row>
    <row r="580" spans="2:8" x14ac:dyDescent="0.25">
      <c r="B580" s="3">
        <v>44647</v>
      </c>
      <c r="C580" s="2" t="s">
        <v>29</v>
      </c>
      <c r="D580" s="2" t="s">
        <v>18</v>
      </c>
      <c r="E580" s="2" t="s">
        <v>9</v>
      </c>
      <c r="F580" s="2" t="s">
        <v>10</v>
      </c>
      <c r="G580" s="2">
        <v>41</v>
      </c>
      <c r="H580" s="9">
        <v>66</v>
      </c>
    </row>
    <row r="581" spans="2:8" x14ac:dyDescent="0.25">
      <c r="B581" s="3">
        <v>44647</v>
      </c>
      <c r="C581" s="2" t="s">
        <v>29</v>
      </c>
      <c r="D581" s="2" t="s">
        <v>18</v>
      </c>
      <c r="E581" s="2" t="s">
        <v>9</v>
      </c>
      <c r="F581" s="2" t="s">
        <v>14</v>
      </c>
      <c r="G581" s="2">
        <v>35</v>
      </c>
      <c r="H581" s="9">
        <v>82</v>
      </c>
    </row>
    <row r="582" spans="2:8" x14ac:dyDescent="0.25">
      <c r="B582" s="3">
        <v>44647</v>
      </c>
      <c r="C582" s="2" t="s">
        <v>23</v>
      </c>
      <c r="D582" s="2" t="s">
        <v>18</v>
      </c>
      <c r="E582" s="2" t="s">
        <v>9</v>
      </c>
      <c r="F582" s="2" t="s">
        <v>14</v>
      </c>
      <c r="G582" s="2">
        <v>38</v>
      </c>
      <c r="H582" s="9">
        <v>100</v>
      </c>
    </row>
    <row r="583" spans="2:8" x14ac:dyDescent="0.25">
      <c r="B583" s="3">
        <v>44648</v>
      </c>
      <c r="C583" s="2" t="s">
        <v>24</v>
      </c>
      <c r="D583" s="2" t="s">
        <v>18</v>
      </c>
      <c r="E583" s="2" t="s">
        <v>13</v>
      </c>
      <c r="F583" s="2" t="s">
        <v>10</v>
      </c>
      <c r="G583" s="2">
        <v>26</v>
      </c>
      <c r="H583" s="9">
        <v>128</v>
      </c>
    </row>
    <row r="584" spans="2:8" x14ac:dyDescent="0.25">
      <c r="B584" s="3">
        <v>44648</v>
      </c>
      <c r="C584" s="2" t="s">
        <v>24</v>
      </c>
      <c r="D584" s="2" t="s">
        <v>18</v>
      </c>
      <c r="E584" s="2" t="s">
        <v>9</v>
      </c>
      <c r="F584" s="2" t="s">
        <v>10</v>
      </c>
      <c r="G584" s="2">
        <v>38</v>
      </c>
      <c r="H584" s="9">
        <v>115</v>
      </c>
    </row>
    <row r="585" spans="2:8" x14ac:dyDescent="0.25">
      <c r="B585" s="3">
        <v>44648</v>
      </c>
      <c r="C585" s="2" t="s">
        <v>25</v>
      </c>
      <c r="D585" s="2" t="s">
        <v>12</v>
      </c>
      <c r="E585" s="2" t="s">
        <v>9</v>
      </c>
      <c r="F585" s="2" t="s">
        <v>14</v>
      </c>
      <c r="G585" s="2">
        <v>73</v>
      </c>
      <c r="H585" s="9">
        <v>43</v>
      </c>
    </row>
    <row r="586" spans="2:8" x14ac:dyDescent="0.25">
      <c r="B586" s="3">
        <v>44648</v>
      </c>
      <c r="C586" s="2" t="s">
        <v>22</v>
      </c>
      <c r="D586" s="2" t="s">
        <v>12</v>
      </c>
      <c r="E586" s="2" t="s">
        <v>9</v>
      </c>
      <c r="F586" s="2" t="s">
        <v>10</v>
      </c>
      <c r="G586" s="2">
        <v>76</v>
      </c>
      <c r="H586" s="9">
        <v>129</v>
      </c>
    </row>
    <row r="587" spans="2:8" x14ac:dyDescent="0.25">
      <c r="B587" s="3">
        <v>44648</v>
      </c>
      <c r="C587" s="2" t="s">
        <v>17</v>
      </c>
      <c r="D587" s="2" t="s">
        <v>18</v>
      </c>
      <c r="E587" s="2" t="s">
        <v>9</v>
      </c>
      <c r="F587" s="2" t="s">
        <v>14</v>
      </c>
      <c r="G587" s="2">
        <v>35</v>
      </c>
      <c r="H587" s="9">
        <v>69</v>
      </c>
    </row>
    <row r="588" spans="2:8" x14ac:dyDescent="0.25">
      <c r="B588" s="3">
        <v>44649</v>
      </c>
      <c r="C588" s="2" t="s">
        <v>15</v>
      </c>
      <c r="D588" s="2" t="s">
        <v>8</v>
      </c>
      <c r="E588" s="2" t="s">
        <v>13</v>
      </c>
      <c r="F588" s="2" t="s">
        <v>10</v>
      </c>
      <c r="G588" s="2">
        <v>58</v>
      </c>
      <c r="H588" s="9">
        <v>107</v>
      </c>
    </row>
    <row r="589" spans="2:8" x14ac:dyDescent="0.25">
      <c r="B589" s="3">
        <v>44649</v>
      </c>
      <c r="C589" s="2" t="s">
        <v>20</v>
      </c>
      <c r="D589" s="2" t="s">
        <v>8</v>
      </c>
      <c r="E589" s="2" t="s">
        <v>9</v>
      </c>
      <c r="F589" s="2" t="s">
        <v>10</v>
      </c>
      <c r="G589" s="2">
        <v>34</v>
      </c>
      <c r="H589" s="9">
        <v>64</v>
      </c>
    </row>
    <row r="590" spans="2:8" x14ac:dyDescent="0.25">
      <c r="B590" s="3">
        <v>44649</v>
      </c>
      <c r="C590" s="2" t="s">
        <v>11</v>
      </c>
      <c r="D590" s="2" t="s">
        <v>12</v>
      </c>
      <c r="E590" s="2" t="s">
        <v>13</v>
      </c>
      <c r="F590" s="2" t="s">
        <v>10</v>
      </c>
      <c r="G590" s="2">
        <v>59</v>
      </c>
      <c r="H590" s="9">
        <v>65</v>
      </c>
    </row>
    <row r="591" spans="2:8" x14ac:dyDescent="0.25">
      <c r="B591" s="3">
        <v>44649</v>
      </c>
      <c r="C591" s="2" t="s">
        <v>11</v>
      </c>
      <c r="D591" s="2" t="s">
        <v>12</v>
      </c>
      <c r="E591" s="2" t="s">
        <v>9</v>
      </c>
      <c r="F591" s="2" t="s">
        <v>14</v>
      </c>
      <c r="G591" s="2">
        <v>10</v>
      </c>
      <c r="H591" s="9">
        <v>83</v>
      </c>
    </row>
    <row r="592" spans="2:8" x14ac:dyDescent="0.25">
      <c r="B592" s="3">
        <v>44650</v>
      </c>
      <c r="C592" s="2" t="s">
        <v>27</v>
      </c>
      <c r="D592" s="2" t="s">
        <v>18</v>
      </c>
      <c r="E592" s="2" t="s">
        <v>13</v>
      </c>
      <c r="F592" s="2" t="s">
        <v>10</v>
      </c>
      <c r="G592" s="2">
        <v>28</v>
      </c>
      <c r="H592" s="9">
        <v>139</v>
      </c>
    </row>
    <row r="593" spans="2:8" x14ac:dyDescent="0.25">
      <c r="B593" s="3">
        <v>44650</v>
      </c>
      <c r="C593" s="2" t="s">
        <v>7</v>
      </c>
      <c r="D593" s="2" t="s">
        <v>8</v>
      </c>
      <c r="E593" s="2" t="s">
        <v>9</v>
      </c>
      <c r="F593" s="2" t="s">
        <v>14</v>
      </c>
      <c r="G593" s="2">
        <v>82</v>
      </c>
      <c r="H593" s="9">
        <v>96</v>
      </c>
    </row>
    <row r="594" spans="2:8" x14ac:dyDescent="0.25">
      <c r="B594" s="3">
        <v>44650</v>
      </c>
      <c r="C594" s="2" t="s">
        <v>23</v>
      </c>
      <c r="D594" s="2" t="s">
        <v>18</v>
      </c>
      <c r="E594" s="2" t="s">
        <v>9</v>
      </c>
      <c r="F594" s="2" t="s">
        <v>16</v>
      </c>
      <c r="G594" s="2">
        <v>52</v>
      </c>
      <c r="H594" s="9">
        <v>46</v>
      </c>
    </row>
    <row r="595" spans="2:8" x14ac:dyDescent="0.25">
      <c r="B595" s="3">
        <v>44650</v>
      </c>
      <c r="C595" s="2" t="s">
        <v>21</v>
      </c>
      <c r="D595" s="2" t="s">
        <v>8</v>
      </c>
      <c r="E595" s="2" t="s">
        <v>13</v>
      </c>
      <c r="F595" s="2" t="s">
        <v>16</v>
      </c>
      <c r="G595" s="2">
        <v>63</v>
      </c>
      <c r="H595" s="9">
        <v>63</v>
      </c>
    </row>
    <row r="596" spans="2:8" x14ac:dyDescent="0.25">
      <c r="B596" s="3">
        <v>44650</v>
      </c>
      <c r="C596" s="2" t="s">
        <v>21</v>
      </c>
      <c r="D596" s="2" t="s">
        <v>8</v>
      </c>
      <c r="E596" s="2" t="s">
        <v>13</v>
      </c>
      <c r="F596" s="2" t="s">
        <v>10</v>
      </c>
      <c r="G596" s="2">
        <v>92</v>
      </c>
      <c r="H596" s="9">
        <v>37</v>
      </c>
    </row>
    <row r="597" spans="2:8" x14ac:dyDescent="0.25">
      <c r="B597" s="3">
        <v>44650</v>
      </c>
      <c r="C597" s="2" t="s">
        <v>15</v>
      </c>
      <c r="D597" s="2" t="s">
        <v>8</v>
      </c>
      <c r="E597" s="2" t="s">
        <v>9</v>
      </c>
      <c r="F597" s="2" t="s">
        <v>16</v>
      </c>
      <c r="G597" s="2">
        <v>46</v>
      </c>
      <c r="H597" s="9">
        <v>34</v>
      </c>
    </row>
    <row r="598" spans="2:8" x14ac:dyDescent="0.25">
      <c r="B598" s="3">
        <v>44651</v>
      </c>
      <c r="C598" s="2" t="s">
        <v>26</v>
      </c>
      <c r="D598" s="2" t="s">
        <v>12</v>
      </c>
      <c r="E598" s="2" t="s">
        <v>13</v>
      </c>
      <c r="F598" s="2" t="s">
        <v>16</v>
      </c>
      <c r="G598" s="2">
        <v>57</v>
      </c>
      <c r="H598" s="9">
        <v>25</v>
      </c>
    </row>
    <row r="599" spans="2:8" x14ac:dyDescent="0.25">
      <c r="B599" s="3">
        <v>44651</v>
      </c>
      <c r="C599" s="2" t="s">
        <v>11</v>
      </c>
      <c r="D599" s="2" t="s">
        <v>12</v>
      </c>
      <c r="E599" s="2" t="s">
        <v>13</v>
      </c>
      <c r="F599" s="2" t="s">
        <v>16</v>
      </c>
      <c r="G599" s="2">
        <v>52</v>
      </c>
      <c r="H599" s="9">
        <v>134</v>
      </c>
    </row>
    <row r="600" spans="2:8" x14ac:dyDescent="0.25">
      <c r="B600" s="3">
        <v>44651</v>
      </c>
      <c r="C600" s="2" t="s">
        <v>26</v>
      </c>
      <c r="D600" s="2" t="s">
        <v>12</v>
      </c>
      <c r="E600" s="2" t="s">
        <v>13</v>
      </c>
      <c r="F600" s="2" t="s">
        <v>14</v>
      </c>
      <c r="G600" s="2">
        <v>95</v>
      </c>
      <c r="H600" s="9">
        <v>140</v>
      </c>
    </row>
    <row r="601" spans="2:8" x14ac:dyDescent="0.25">
      <c r="B601" s="3">
        <v>44651</v>
      </c>
      <c r="C601" s="2" t="s">
        <v>19</v>
      </c>
      <c r="D601" s="2" t="s">
        <v>12</v>
      </c>
      <c r="E601" s="2" t="s">
        <v>13</v>
      </c>
      <c r="F601" s="2" t="s">
        <v>10</v>
      </c>
      <c r="G601" s="2">
        <v>38</v>
      </c>
      <c r="H601" s="9">
        <v>137</v>
      </c>
    </row>
    <row r="602" spans="2:8" x14ac:dyDescent="0.25">
      <c r="B602" s="3">
        <v>44651</v>
      </c>
      <c r="C602" s="2" t="s">
        <v>25</v>
      </c>
      <c r="D602" s="2" t="s">
        <v>12</v>
      </c>
      <c r="E602" s="2" t="s">
        <v>9</v>
      </c>
      <c r="F602" s="2" t="s">
        <v>14</v>
      </c>
      <c r="G602" s="2">
        <v>100</v>
      </c>
      <c r="H602" s="9">
        <v>146</v>
      </c>
    </row>
    <row r="603" spans="2:8" x14ac:dyDescent="0.25">
      <c r="B603" s="4">
        <v>44651</v>
      </c>
      <c r="C603" s="1" t="s">
        <v>26</v>
      </c>
      <c r="D603" s="1" t="s">
        <v>12</v>
      </c>
      <c r="E603" s="1" t="s">
        <v>9</v>
      </c>
      <c r="F603" s="1" t="s">
        <v>14</v>
      </c>
      <c r="G603" s="1">
        <v>22</v>
      </c>
      <c r="H603" s="10">
        <v>106</v>
      </c>
    </row>
    <row r="604" spans="2:8" x14ac:dyDescent="0.25">
      <c r="B604" s="3">
        <v>44652</v>
      </c>
      <c r="C604" s="2" t="s">
        <v>20</v>
      </c>
      <c r="D604" s="2" t="s">
        <v>8</v>
      </c>
      <c r="E604" s="2" t="s">
        <v>13</v>
      </c>
      <c r="F604" s="2" t="s">
        <v>16</v>
      </c>
      <c r="G604" s="2">
        <v>77</v>
      </c>
      <c r="H604" s="9">
        <v>41</v>
      </c>
    </row>
    <row r="605" spans="2:8" x14ac:dyDescent="0.25">
      <c r="B605" s="3">
        <v>44652</v>
      </c>
      <c r="C605" s="2" t="s">
        <v>23</v>
      </c>
      <c r="D605" s="2" t="s">
        <v>18</v>
      </c>
      <c r="E605" s="2" t="s">
        <v>13</v>
      </c>
      <c r="F605" s="2" t="s">
        <v>14</v>
      </c>
      <c r="G605" s="2">
        <v>32</v>
      </c>
      <c r="H605" s="9">
        <v>140</v>
      </c>
    </row>
    <row r="606" spans="2:8" x14ac:dyDescent="0.25">
      <c r="B606" s="3">
        <v>44652</v>
      </c>
      <c r="C606" s="2" t="s">
        <v>25</v>
      </c>
      <c r="D606" s="2" t="s">
        <v>12</v>
      </c>
      <c r="E606" s="2" t="s">
        <v>13</v>
      </c>
      <c r="F606" s="2" t="s">
        <v>10</v>
      </c>
      <c r="G606" s="2">
        <v>98</v>
      </c>
      <c r="H606" s="9">
        <v>81</v>
      </c>
    </row>
    <row r="607" spans="2:8" x14ac:dyDescent="0.25">
      <c r="B607" s="3">
        <v>44652</v>
      </c>
      <c r="C607" s="2" t="s">
        <v>28</v>
      </c>
      <c r="D607" s="2" t="s">
        <v>8</v>
      </c>
      <c r="E607" s="2" t="s">
        <v>13</v>
      </c>
      <c r="F607" s="2" t="s">
        <v>16</v>
      </c>
      <c r="G607" s="2">
        <v>28</v>
      </c>
      <c r="H607" s="9">
        <v>96</v>
      </c>
    </row>
    <row r="608" spans="2:8" x14ac:dyDescent="0.25">
      <c r="B608" s="3">
        <v>44652</v>
      </c>
      <c r="C608" s="2" t="s">
        <v>26</v>
      </c>
      <c r="D608" s="2" t="s">
        <v>12</v>
      </c>
      <c r="E608" s="2" t="s">
        <v>13</v>
      </c>
      <c r="F608" s="2" t="s">
        <v>10</v>
      </c>
      <c r="G608" s="2">
        <v>92</v>
      </c>
      <c r="H608" s="9">
        <v>71</v>
      </c>
    </row>
    <row r="609" spans="2:8" x14ac:dyDescent="0.25">
      <c r="B609" s="3">
        <v>44652</v>
      </c>
      <c r="C609" s="2" t="s">
        <v>25</v>
      </c>
      <c r="D609" s="2" t="s">
        <v>12</v>
      </c>
      <c r="E609" s="2" t="s">
        <v>13</v>
      </c>
      <c r="F609" s="2" t="s">
        <v>14</v>
      </c>
      <c r="G609" s="2">
        <v>67</v>
      </c>
      <c r="H609" s="9">
        <v>117</v>
      </c>
    </row>
    <row r="610" spans="2:8" x14ac:dyDescent="0.25">
      <c r="B610" s="3">
        <v>44652</v>
      </c>
      <c r="C610" s="2" t="s">
        <v>29</v>
      </c>
      <c r="D610" s="2" t="s">
        <v>18</v>
      </c>
      <c r="E610" s="2" t="s">
        <v>13</v>
      </c>
      <c r="F610" s="2" t="s">
        <v>10</v>
      </c>
      <c r="G610" s="2">
        <v>89</v>
      </c>
      <c r="H610" s="9">
        <v>30</v>
      </c>
    </row>
    <row r="611" spans="2:8" x14ac:dyDescent="0.25">
      <c r="B611" s="3">
        <v>44653</v>
      </c>
      <c r="C611" s="2" t="s">
        <v>17</v>
      </c>
      <c r="D611" s="2" t="s">
        <v>18</v>
      </c>
      <c r="E611" s="2" t="s">
        <v>9</v>
      </c>
      <c r="F611" s="2" t="s">
        <v>14</v>
      </c>
      <c r="G611" s="2">
        <v>12</v>
      </c>
      <c r="H611" s="9">
        <v>106</v>
      </c>
    </row>
    <row r="612" spans="2:8" x14ac:dyDescent="0.25">
      <c r="B612" s="3">
        <v>44653</v>
      </c>
      <c r="C612" s="2" t="s">
        <v>15</v>
      </c>
      <c r="D612" s="2" t="s">
        <v>8</v>
      </c>
      <c r="E612" s="2" t="s">
        <v>13</v>
      </c>
      <c r="F612" s="2" t="s">
        <v>14</v>
      </c>
      <c r="G612" s="2">
        <v>68</v>
      </c>
      <c r="H612" s="9">
        <v>147</v>
      </c>
    </row>
    <row r="613" spans="2:8" x14ac:dyDescent="0.25">
      <c r="B613" s="3">
        <v>44654</v>
      </c>
      <c r="C613" s="2" t="s">
        <v>26</v>
      </c>
      <c r="D613" s="2" t="s">
        <v>12</v>
      </c>
      <c r="E613" s="2" t="s">
        <v>9</v>
      </c>
      <c r="F613" s="2" t="s">
        <v>16</v>
      </c>
      <c r="G613" s="2">
        <v>97</v>
      </c>
      <c r="H613" s="9">
        <v>122</v>
      </c>
    </row>
    <row r="614" spans="2:8" x14ac:dyDescent="0.25">
      <c r="B614" s="3">
        <v>44654</v>
      </c>
      <c r="C614" s="2" t="s">
        <v>11</v>
      </c>
      <c r="D614" s="2" t="s">
        <v>12</v>
      </c>
      <c r="E614" s="2" t="s">
        <v>9</v>
      </c>
      <c r="F614" s="2" t="s">
        <v>16</v>
      </c>
      <c r="G614" s="2">
        <v>36</v>
      </c>
      <c r="H614" s="9">
        <v>79</v>
      </c>
    </row>
    <row r="615" spans="2:8" x14ac:dyDescent="0.25">
      <c r="B615" s="3">
        <v>44654</v>
      </c>
      <c r="C615" s="2" t="s">
        <v>23</v>
      </c>
      <c r="D615" s="2" t="s">
        <v>18</v>
      </c>
      <c r="E615" s="2" t="s">
        <v>9</v>
      </c>
      <c r="F615" s="2" t="s">
        <v>10</v>
      </c>
      <c r="G615" s="2">
        <v>40</v>
      </c>
      <c r="H615" s="9">
        <v>52</v>
      </c>
    </row>
    <row r="616" spans="2:8" x14ac:dyDescent="0.25">
      <c r="B616" s="3">
        <v>44654</v>
      </c>
      <c r="C616" s="2" t="s">
        <v>20</v>
      </c>
      <c r="D616" s="2" t="s">
        <v>8</v>
      </c>
      <c r="E616" s="2" t="s">
        <v>13</v>
      </c>
      <c r="F616" s="2" t="s">
        <v>10</v>
      </c>
      <c r="G616" s="2">
        <v>34</v>
      </c>
      <c r="H616" s="9">
        <v>124</v>
      </c>
    </row>
    <row r="617" spans="2:8" x14ac:dyDescent="0.25">
      <c r="B617" s="3">
        <v>44655</v>
      </c>
      <c r="C617" s="2" t="s">
        <v>11</v>
      </c>
      <c r="D617" s="2" t="s">
        <v>12</v>
      </c>
      <c r="E617" s="2" t="s">
        <v>13</v>
      </c>
      <c r="F617" s="2" t="s">
        <v>16</v>
      </c>
      <c r="G617" s="2">
        <v>11</v>
      </c>
      <c r="H617" s="9">
        <v>107</v>
      </c>
    </row>
    <row r="618" spans="2:8" x14ac:dyDescent="0.25">
      <c r="B618" s="3">
        <v>44655</v>
      </c>
      <c r="C618" s="2" t="s">
        <v>15</v>
      </c>
      <c r="D618" s="2" t="s">
        <v>8</v>
      </c>
      <c r="E618" s="2" t="s">
        <v>9</v>
      </c>
      <c r="F618" s="2" t="s">
        <v>10</v>
      </c>
      <c r="G618" s="2">
        <v>34</v>
      </c>
      <c r="H618" s="9">
        <v>34</v>
      </c>
    </row>
    <row r="619" spans="2:8" x14ac:dyDescent="0.25">
      <c r="B619" s="3">
        <v>44655</v>
      </c>
      <c r="C619" s="2" t="s">
        <v>23</v>
      </c>
      <c r="D619" s="2" t="s">
        <v>18</v>
      </c>
      <c r="E619" s="2" t="s">
        <v>9</v>
      </c>
      <c r="F619" s="2" t="s">
        <v>14</v>
      </c>
      <c r="G619" s="2">
        <v>56</v>
      </c>
      <c r="H619" s="9">
        <v>49</v>
      </c>
    </row>
    <row r="620" spans="2:8" x14ac:dyDescent="0.25">
      <c r="B620" s="3">
        <v>44655</v>
      </c>
      <c r="C620" s="2" t="s">
        <v>28</v>
      </c>
      <c r="D620" s="2" t="s">
        <v>8</v>
      </c>
      <c r="E620" s="2" t="s">
        <v>9</v>
      </c>
      <c r="F620" s="2" t="s">
        <v>16</v>
      </c>
      <c r="G620" s="2">
        <v>11</v>
      </c>
      <c r="H620" s="9">
        <v>114</v>
      </c>
    </row>
    <row r="621" spans="2:8" x14ac:dyDescent="0.25">
      <c r="B621" s="3">
        <v>44655</v>
      </c>
      <c r="C621" s="2" t="s">
        <v>21</v>
      </c>
      <c r="D621" s="2" t="s">
        <v>8</v>
      </c>
      <c r="E621" s="2" t="s">
        <v>9</v>
      </c>
      <c r="F621" s="2" t="s">
        <v>16</v>
      </c>
      <c r="G621" s="2">
        <v>71</v>
      </c>
      <c r="H621" s="9">
        <v>39</v>
      </c>
    </row>
    <row r="622" spans="2:8" x14ac:dyDescent="0.25">
      <c r="B622" s="3">
        <v>44656</v>
      </c>
      <c r="C622" s="2" t="s">
        <v>29</v>
      </c>
      <c r="D622" s="2" t="s">
        <v>18</v>
      </c>
      <c r="E622" s="2" t="s">
        <v>13</v>
      </c>
      <c r="F622" s="2" t="s">
        <v>16</v>
      </c>
      <c r="G622" s="2">
        <v>80</v>
      </c>
      <c r="H622" s="9">
        <v>33</v>
      </c>
    </row>
    <row r="623" spans="2:8" x14ac:dyDescent="0.25">
      <c r="B623" s="3">
        <v>44656</v>
      </c>
      <c r="C623" s="2" t="s">
        <v>26</v>
      </c>
      <c r="D623" s="2" t="s">
        <v>12</v>
      </c>
      <c r="E623" s="2" t="s">
        <v>13</v>
      </c>
      <c r="F623" s="2" t="s">
        <v>10</v>
      </c>
      <c r="G623" s="2">
        <v>53</v>
      </c>
      <c r="H623" s="9">
        <v>116</v>
      </c>
    </row>
    <row r="624" spans="2:8" x14ac:dyDescent="0.25">
      <c r="B624" s="3">
        <v>44656</v>
      </c>
      <c r="C624" s="2" t="s">
        <v>28</v>
      </c>
      <c r="D624" s="2" t="s">
        <v>8</v>
      </c>
      <c r="E624" s="2" t="s">
        <v>9</v>
      </c>
      <c r="F624" s="2" t="s">
        <v>10</v>
      </c>
      <c r="G624" s="2">
        <v>48</v>
      </c>
      <c r="H624" s="9">
        <v>147</v>
      </c>
    </row>
    <row r="625" spans="2:8" x14ac:dyDescent="0.25">
      <c r="B625" s="3">
        <v>44656</v>
      </c>
      <c r="C625" s="2" t="s">
        <v>23</v>
      </c>
      <c r="D625" s="2" t="s">
        <v>18</v>
      </c>
      <c r="E625" s="2" t="s">
        <v>13</v>
      </c>
      <c r="F625" s="2" t="s">
        <v>10</v>
      </c>
      <c r="G625" s="2">
        <v>80</v>
      </c>
      <c r="H625" s="9">
        <v>89</v>
      </c>
    </row>
    <row r="626" spans="2:8" x14ac:dyDescent="0.25">
      <c r="B626" s="3">
        <v>44656</v>
      </c>
      <c r="C626" s="2" t="s">
        <v>15</v>
      </c>
      <c r="D626" s="2" t="s">
        <v>8</v>
      </c>
      <c r="E626" s="2" t="s">
        <v>9</v>
      </c>
      <c r="F626" s="2" t="s">
        <v>16</v>
      </c>
      <c r="G626" s="2">
        <v>51</v>
      </c>
      <c r="H626" s="9">
        <v>33</v>
      </c>
    </row>
    <row r="627" spans="2:8" x14ac:dyDescent="0.25">
      <c r="B627" s="3">
        <v>44656</v>
      </c>
      <c r="C627" s="2" t="s">
        <v>27</v>
      </c>
      <c r="D627" s="2" t="s">
        <v>18</v>
      </c>
      <c r="E627" s="2" t="s">
        <v>9</v>
      </c>
      <c r="F627" s="2" t="s">
        <v>14</v>
      </c>
      <c r="G627" s="2">
        <v>50</v>
      </c>
      <c r="H627" s="9">
        <v>95</v>
      </c>
    </row>
    <row r="628" spans="2:8" x14ac:dyDescent="0.25">
      <c r="B628" s="3">
        <v>44656</v>
      </c>
      <c r="C628" s="2" t="s">
        <v>28</v>
      </c>
      <c r="D628" s="2" t="s">
        <v>8</v>
      </c>
      <c r="E628" s="2" t="s">
        <v>9</v>
      </c>
      <c r="F628" s="2" t="s">
        <v>10</v>
      </c>
      <c r="G628" s="2">
        <v>36</v>
      </c>
      <c r="H628" s="9">
        <v>39</v>
      </c>
    </row>
    <row r="629" spans="2:8" x14ac:dyDescent="0.25">
      <c r="B629" s="3">
        <v>44656</v>
      </c>
      <c r="C629" s="2" t="s">
        <v>17</v>
      </c>
      <c r="D629" s="2" t="s">
        <v>18</v>
      </c>
      <c r="E629" s="2" t="s">
        <v>13</v>
      </c>
      <c r="F629" s="2" t="s">
        <v>14</v>
      </c>
      <c r="G629" s="2">
        <v>38</v>
      </c>
      <c r="H629" s="9">
        <v>113</v>
      </c>
    </row>
    <row r="630" spans="2:8" x14ac:dyDescent="0.25">
      <c r="B630" s="3">
        <v>44656</v>
      </c>
      <c r="C630" s="2" t="s">
        <v>26</v>
      </c>
      <c r="D630" s="2" t="s">
        <v>12</v>
      </c>
      <c r="E630" s="2" t="s">
        <v>13</v>
      </c>
      <c r="F630" s="2" t="s">
        <v>16</v>
      </c>
      <c r="G630" s="2">
        <v>50</v>
      </c>
      <c r="H630" s="9">
        <v>138</v>
      </c>
    </row>
    <row r="631" spans="2:8" x14ac:dyDescent="0.25">
      <c r="B631" s="3">
        <v>44656</v>
      </c>
      <c r="C631" s="2" t="s">
        <v>15</v>
      </c>
      <c r="D631" s="2" t="s">
        <v>8</v>
      </c>
      <c r="E631" s="2" t="s">
        <v>13</v>
      </c>
      <c r="F631" s="2" t="s">
        <v>16</v>
      </c>
      <c r="G631" s="2">
        <v>39</v>
      </c>
      <c r="H631" s="9">
        <v>32</v>
      </c>
    </row>
    <row r="632" spans="2:8" x14ac:dyDescent="0.25">
      <c r="B632" s="3">
        <v>44656</v>
      </c>
      <c r="C632" s="2" t="s">
        <v>17</v>
      </c>
      <c r="D632" s="2" t="s">
        <v>18</v>
      </c>
      <c r="E632" s="2" t="s">
        <v>9</v>
      </c>
      <c r="F632" s="2" t="s">
        <v>10</v>
      </c>
      <c r="G632" s="2">
        <v>69</v>
      </c>
      <c r="H632" s="9">
        <v>28</v>
      </c>
    </row>
    <row r="633" spans="2:8" x14ac:dyDescent="0.25">
      <c r="B633" s="3">
        <v>44656</v>
      </c>
      <c r="C633" s="2" t="s">
        <v>26</v>
      </c>
      <c r="D633" s="2" t="s">
        <v>12</v>
      </c>
      <c r="E633" s="2" t="s">
        <v>13</v>
      </c>
      <c r="F633" s="2" t="s">
        <v>14</v>
      </c>
      <c r="G633" s="2">
        <v>68</v>
      </c>
      <c r="H633" s="9">
        <v>86</v>
      </c>
    </row>
    <row r="634" spans="2:8" x14ac:dyDescent="0.25">
      <c r="B634" s="3">
        <v>44656</v>
      </c>
      <c r="C634" s="2" t="s">
        <v>21</v>
      </c>
      <c r="D634" s="2" t="s">
        <v>8</v>
      </c>
      <c r="E634" s="2" t="s">
        <v>13</v>
      </c>
      <c r="F634" s="2" t="s">
        <v>16</v>
      </c>
      <c r="G634" s="2">
        <v>22</v>
      </c>
      <c r="H634" s="9">
        <v>31</v>
      </c>
    </row>
    <row r="635" spans="2:8" x14ac:dyDescent="0.25">
      <c r="B635" s="3">
        <v>44656</v>
      </c>
      <c r="C635" s="2" t="s">
        <v>24</v>
      </c>
      <c r="D635" s="2" t="s">
        <v>18</v>
      </c>
      <c r="E635" s="2" t="s">
        <v>9</v>
      </c>
      <c r="F635" s="2" t="s">
        <v>10</v>
      </c>
      <c r="G635" s="2">
        <v>91</v>
      </c>
      <c r="H635" s="9">
        <v>32</v>
      </c>
    </row>
    <row r="636" spans="2:8" x14ac:dyDescent="0.25">
      <c r="B636" s="3">
        <v>44656</v>
      </c>
      <c r="C636" s="2" t="s">
        <v>28</v>
      </c>
      <c r="D636" s="2" t="s">
        <v>8</v>
      </c>
      <c r="E636" s="2" t="s">
        <v>9</v>
      </c>
      <c r="F636" s="2" t="s">
        <v>14</v>
      </c>
      <c r="G636" s="2">
        <v>37</v>
      </c>
      <c r="H636" s="9">
        <v>53</v>
      </c>
    </row>
    <row r="637" spans="2:8" x14ac:dyDescent="0.25">
      <c r="B637" s="3">
        <v>44656</v>
      </c>
      <c r="C637" s="2" t="s">
        <v>26</v>
      </c>
      <c r="D637" s="2" t="s">
        <v>12</v>
      </c>
      <c r="E637" s="2" t="s">
        <v>13</v>
      </c>
      <c r="F637" s="2" t="s">
        <v>10</v>
      </c>
      <c r="G637" s="2">
        <v>59</v>
      </c>
      <c r="H637" s="9">
        <v>67</v>
      </c>
    </row>
    <row r="638" spans="2:8" x14ac:dyDescent="0.25">
      <c r="B638" s="3">
        <v>44657</v>
      </c>
      <c r="C638" s="2" t="s">
        <v>22</v>
      </c>
      <c r="D638" s="2" t="s">
        <v>12</v>
      </c>
      <c r="E638" s="2" t="s">
        <v>9</v>
      </c>
      <c r="F638" s="2" t="s">
        <v>10</v>
      </c>
      <c r="G638" s="2">
        <v>56</v>
      </c>
      <c r="H638" s="9">
        <v>90</v>
      </c>
    </row>
    <row r="639" spans="2:8" x14ac:dyDescent="0.25">
      <c r="B639" s="3">
        <v>44657</v>
      </c>
      <c r="C639" s="2" t="s">
        <v>21</v>
      </c>
      <c r="D639" s="2" t="s">
        <v>8</v>
      </c>
      <c r="E639" s="2" t="s">
        <v>9</v>
      </c>
      <c r="F639" s="2" t="s">
        <v>16</v>
      </c>
      <c r="G639" s="2">
        <v>47</v>
      </c>
      <c r="H639" s="9">
        <v>95</v>
      </c>
    </row>
    <row r="640" spans="2:8" x14ac:dyDescent="0.25">
      <c r="B640" s="3">
        <v>44657</v>
      </c>
      <c r="C640" s="2" t="s">
        <v>24</v>
      </c>
      <c r="D640" s="2" t="s">
        <v>18</v>
      </c>
      <c r="E640" s="2" t="s">
        <v>13</v>
      </c>
      <c r="F640" s="2" t="s">
        <v>14</v>
      </c>
      <c r="G640" s="2">
        <v>56</v>
      </c>
      <c r="H640" s="9">
        <v>24</v>
      </c>
    </row>
    <row r="641" spans="2:8" x14ac:dyDescent="0.25">
      <c r="B641" s="3">
        <v>44657</v>
      </c>
      <c r="C641" s="2" t="s">
        <v>19</v>
      </c>
      <c r="D641" s="2" t="s">
        <v>12</v>
      </c>
      <c r="E641" s="2" t="s">
        <v>13</v>
      </c>
      <c r="F641" s="2" t="s">
        <v>10</v>
      </c>
      <c r="G641" s="2">
        <v>53</v>
      </c>
      <c r="H641" s="9">
        <v>103</v>
      </c>
    </row>
    <row r="642" spans="2:8" x14ac:dyDescent="0.25">
      <c r="B642" s="3">
        <v>44657</v>
      </c>
      <c r="C642" s="2" t="s">
        <v>19</v>
      </c>
      <c r="D642" s="2" t="s">
        <v>12</v>
      </c>
      <c r="E642" s="2" t="s">
        <v>13</v>
      </c>
      <c r="F642" s="2" t="s">
        <v>16</v>
      </c>
      <c r="G642" s="2">
        <v>30</v>
      </c>
      <c r="H642" s="9">
        <v>130</v>
      </c>
    </row>
    <row r="643" spans="2:8" x14ac:dyDescent="0.25">
      <c r="B643" s="3">
        <v>44657</v>
      </c>
      <c r="C643" s="2" t="s">
        <v>7</v>
      </c>
      <c r="D643" s="2" t="s">
        <v>8</v>
      </c>
      <c r="E643" s="2" t="s">
        <v>13</v>
      </c>
      <c r="F643" s="2" t="s">
        <v>16</v>
      </c>
      <c r="G643" s="2">
        <v>49</v>
      </c>
      <c r="H643" s="9">
        <v>38</v>
      </c>
    </row>
    <row r="644" spans="2:8" x14ac:dyDescent="0.25">
      <c r="B644" s="3">
        <v>44658</v>
      </c>
      <c r="C644" s="2" t="s">
        <v>11</v>
      </c>
      <c r="D644" s="2" t="s">
        <v>12</v>
      </c>
      <c r="E644" s="2" t="s">
        <v>9</v>
      </c>
      <c r="F644" s="2" t="s">
        <v>16</v>
      </c>
      <c r="G644" s="2">
        <v>65</v>
      </c>
      <c r="H644" s="9">
        <v>29</v>
      </c>
    </row>
    <row r="645" spans="2:8" x14ac:dyDescent="0.25">
      <c r="B645" s="3">
        <v>44658</v>
      </c>
      <c r="C645" s="2" t="s">
        <v>20</v>
      </c>
      <c r="D645" s="2" t="s">
        <v>8</v>
      </c>
      <c r="E645" s="2" t="s">
        <v>9</v>
      </c>
      <c r="F645" s="2" t="s">
        <v>14</v>
      </c>
      <c r="G645" s="2">
        <v>10</v>
      </c>
      <c r="H645" s="9">
        <v>129</v>
      </c>
    </row>
    <row r="646" spans="2:8" x14ac:dyDescent="0.25">
      <c r="B646" s="3">
        <v>44658</v>
      </c>
      <c r="C646" s="2" t="s">
        <v>21</v>
      </c>
      <c r="D646" s="2" t="s">
        <v>8</v>
      </c>
      <c r="E646" s="2" t="s">
        <v>9</v>
      </c>
      <c r="F646" s="2" t="s">
        <v>16</v>
      </c>
      <c r="G646" s="2">
        <v>72</v>
      </c>
      <c r="H646" s="9">
        <v>92</v>
      </c>
    </row>
    <row r="647" spans="2:8" x14ac:dyDescent="0.25">
      <c r="B647" s="3">
        <v>44658</v>
      </c>
      <c r="C647" s="2" t="s">
        <v>27</v>
      </c>
      <c r="D647" s="2" t="s">
        <v>18</v>
      </c>
      <c r="E647" s="2" t="s">
        <v>9</v>
      </c>
      <c r="F647" s="2" t="s">
        <v>14</v>
      </c>
      <c r="G647" s="2">
        <v>48</v>
      </c>
      <c r="H647" s="9">
        <v>47</v>
      </c>
    </row>
    <row r="648" spans="2:8" x14ac:dyDescent="0.25">
      <c r="B648" s="3">
        <v>44658</v>
      </c>
      <c r="C648" s="2" t="s">
        <v>21</v>
      </c>
      <c r="D648" s="2" t="s">
        <v>8</v>
      </c>
      <c r="E648" s="2" t="s">
        <v>13</v>
      </c>
      <c r="F648" s="2" t="s">
        <v>14</v>
      </c>
      <c r="G648" s="2">
        <v>26</v>
      </c>
      <c r="H648" s="9">
        <v>54</v>
      </c>
    </row>
    <row r="649" spans="2:8" x14ac:dyDescent="0.25">
      <c r="B649" s="3">
        <v>44658</v>
      </c>
      <c r="C649" s="2" t="s">
        <v>11</v>
      </c>
      <c r="D649" s="2" t="s">
        <v>12</v>
      </c>
      <c r="E649" s="2" t="s">
        <v>13</v>
      </c>
      <c r="F649" s="2" t="s">
        <v>10</v>
      </c>
      <c r="G649" s="2">
        <v>69</v>
      </c>
      <c r="H649" s="9">
        <v>62</v>
      </c>
    </row>
    <row r="650" spans="2:8" x14ac:dyDescent="0.25">
      <c r="B650" s="3">
        <v>44658</v>
      </c>
      <c r="C650" s="2" t="s">
        <v>17</v>
      </c>
      <c r="D650" s="2" t="s">
        <v>18</v>
      </c>
      <c r="E650" s="2" t="s">
        <v>13</v>
      </c>
      <c r="F650" s="2" t="s">
        <v>14</v>
      </c>
      <c r="G650" s="2">
        <v>65</v>
      </c>
      <c r="H650" s="9">
        <v>26</v>
      </c>
    </row>
    <row r="651" spans="2:8" x14ac:dyDescent="0.25">
      <c r="B651" s="3">
        <v>44659</v>
      </c>
      <c r="C651" s="2" t="s">
        <v>27</v>
      </c>
      <c r="D651" s="2" t="s">
        <v>18</v>
      </c>
      <c r="E651" s="2" t="s">
        <v>9</v>
      </c>
      <c r="F651" s="2" t="s">
        <v>14</v>
      </c>
      <c r="G651" s="2">
        <v>49</v>
      </c>
      <c r="H651" s="9">
        <v>34</v>
      </c>
    </row>
    <row r="652" spans="2:8" x14ac:dyDescent="0.25">
      <c r="B652" s="3">
        <v>44659</v>
      </c>
      <c r="C652" s="2" t="s">
        <v>23</v>
      </c>
      <c r="D652" s="2" t="s">
        <v>18</v>
      </c>
      <c r="E652" s="2" t="s">
        <v>9</v>
      </c>
      <c r="F652" s="2" t="s">
        <v>14</v>
      </c>
      <c r="G652" s="2">
        <v>48</v>
      </c>
      <c r="H652" s="9">
        <v>83</v>
      </c>
    </row>
    <row r="653" spans="2:8" x14ac:dyDescent="0.25">
      <c r="B653" s="3">
        <v>44659</v>
      </c>
      <c r="C653" s="2" t="s">
        <v>17</v>
      </c>
      <c r="D653" s="2" t="s">
        <v>18</v>
      </c>
      <c r="E653" s="2" t="s">
        <v>13</v>
      </c>
      <c r="F653" s="2" t="s">
        <v>14</v>
      </c>
      <c r="G653" s="2">
        <v>93</v>
      </c>
      <c r="H653" s="9">
        <v>122</v>
      </c>
    </row>
    <row r="654" spans="2:8" x14ac:dyDescent="0.25">
      <c r="B654" s="3">
        <v>44659</v>
      </c>
      <c r="C654" s="2" t="s">
        <v>27</v>
      </c>
      <c r="D654" s="2" t="s">
        <v>18</v>
      </c>
      <c r="E654" s="2" t="s">
        <v>13</v>
      </c>
      <c r="F654" s="2" t="s">
        <v>14</v>
      </c>
      <c r="G654" s="2">
        <v>28</v>
      </c>
      <c r="H654" s="9">
        <v>83</v>
      </c>
    </row>
    <row r="655" spans="2:8" x14ac:dyDescent="0.25">
      <c r="B655" s="3">
        <v>44659</v>
      </c>
      <c r="C655" s="2" t="s">
        <v>28</v>
      </c>
      <c r="D655" s="2" t="s">
        <v>8</v>
      </c>
      <c r="E655" s="2" t="s">
        <v>9</v>
      </c>
      <c r="F655" s="2" t="s">
        <v>16</v>
      </c>
      <c r="G655" s="2">
        <v>37</v>
      </c>
      <c r="H655" s="9">
        <v>50</v>
      </c>
    </row>
    <row r="656" spans="2:8" x14ac:dyDescent="0.25">
      <c r="B656" s="3">
        <v>44660</v>
      </c>
      <c r="C656" s="2" t="s">
        <v>17</v>
      </c>
      <c r="D656" s="2" t="s">
        <v>18</v>
      </c>
      <c r="E656" s="2" t="s">
        <v>13</v>
      </c>
      <c r="F656" s="2" t="s">
        <v>14</v>
      </c>
      <c r="G656" s="2">
        <v>15</v>
      </c>
      <c r="H656" s="9">
        <v>75</v>
      </c>
    </row>
    <row r="657" spans="2:8" x14ac:dyDescent="0.25">
      <c r="B657" s="3">
        <v>44660</v>
      </c>
      <c r="C657" s="2" t="s">
        <v>17</v>
      </c>
      <c r="D657" s="2" t="s">
        <v>18</v>
      </c>
      <c r="E657" s="2" t="s">
        <v>13</v>
      </c>
      <c r="F657" s="2" t="s">
        <v>10</v>
      </c>
      <c r="G657" s="2">
        <v>97</v>
      </c>
      <c r="H657" s="9">
        <v>28</v>
      </c>
    </row>
    <row r="658" spans="2:8" x14ac:dyDescent="0.25">
      <c r="B658" s="3">
        <v>44660</v>
      </c>
      <c r="C658" s="2" t="s">
        <v>19</v>
      </c>
      <c r="D658" s="2" t="s">
        <v>12</v>
      </c>
      <c r="E658" s="2" t="s">
        <v>9</v>
      </c>
      <c r="F658" s="2" t="s">
        <v>16</v>
      </c>
      <c r="G658" s="2">
        <v>13</v>
      </c>
      <c r="H658" s="9">
        <v>38</v>
      </c>
    </row>
    <row r="659" spans="2:8" x14ac:dyDescent="0.25">
      <c r="B659" s="3">
        <v>44660</v>
      </c>
      <c r="C659" s="2" t="s">
        <v>25</v>
      </c>
      <c r="D659" s="2" t="s">
        <v>12</v>
      </c>
      <c r="E659" s="2" t="s">
        <v>13</v>
      </c>
      <c r="F659" s="2" t="s">
        <v>16</v>
      </c>
      <c r="G659" s="2">
        <v>79</v>
      </c>
      <c r="H659" s="9">
        <v>127</v>
      </c>
    </row>
    <row r="660" spans="2:8" x14ac:dyDescent="0.25">
      <c r="B660" s="3">
        <v>44660</v>
      </c>
      <c r="C660" s="2" t="s">
        <v>17</v>
      </c>
      <c r="D660" s="2" t="s">
        <v>18</v>
      </c>
      <c r="E660" s="2" t="s">
        <v>13</v>
      </c>
      <c r="F660" s="2" t="s">
        <v>10</v>
      </c>
      <c r="G660" s="2">
        <v>97</v>
      </c>
      <c r="H660" s="9">
        <v>99</v>
      </c>
    </row>
    <row r="661" spans="2:8" x14ac:dyDescent="0.25">
      <c r="B661" s="3">
        <v>44660</v>
      </c>
      <c r="C661" s="2" t="s">
        <v>22</v>
      </c>
      <c r="D661" s="2" t="s">
        <v>12</v>
      </c>
      <c r="E661" s="2" t="s">
        <v>13</v>
      </c>
      <c r="F661" s="2" t="s">
        <v>10</v>
      </c>
      <c r="G661" s="2">
        <v>36</v>
      </c>
      <c r="H661" s="9">
        <v>97</v>
      </c>
    </row>
    <row r="662" spans="2:8" x14ac:dyDescent="0.25">
      <c r="B662" s="3">
        <v>44660</v>
      </c>
      <c r="C662" s="2" t="s">
        <v>27</v>
      </c>
      <c r="D662" s="2" t="s">
        <v>18</v>
      </c>
      <c r="E662" s="2" t="s">
        <v>13</v>
      </c>
      <c r="F662" s="2" t="s">
        <v>10</v>
      </c>
      <c r="G662" s="2">
        <v>96</v>
      </c>
      <c r="H662" s="9">
        <v>57</v>
      </c>
    </row>
    <row r="663" spans="2:8" x14ac:dyDescent="0.25">
      <c r="B663" s="3">
        <v>44660</v>
      </c>
      <c r="C663" s="2" t="s">
        <v>17</v>
      </c>
      <c r="D663" s="2" t="s">
        <v>18</v>
      </c>
      <c r="E663" s="2" t="s">
        <v>13</v>
      </c>
      <c r="F663" s="2" t="s">
        <v>14</v>
      </c>
      <c r="G663" s="2">
        <v>44</v>
      </c>
      <c r="H663" s="9">
        <v>23</v>
      </c>
    </row>
    <row r="664" spans="2:8" x14ac:dyDescent="0.25">
      <c r="B664" s="3">
        <v>44661</v>
      </c>
      <c r="C664" s="2" t="s">
        <v>24</v>
      </c>
      <c r="D664" s="2" t="s">
        <v>18</v>
      </c>
      <c r="E664" s="2" t="s">
        <v>9</v>
      </c>
      <c r="F664" s="2" t="s">
        <v>10</v>
      </c>
      <c r="G664" s="2">
        <v>33</v>
      </c>
      <c r="H664" s="9">
        <v>96</v>
      </c>
    </row>
    <row r="665" spans="2:8" x14ac:dyDescent="0.25">
      <c r="B665" s="3">
        <v>44661</v>
      </c>
      <c r="C665" s="2" t="s">
        <v>28</v>
      </c>
      <c r="D665" s="2" t="s">
        <v>8</v>
      </c>
      <c r="E665" s="2" t="s">
        <v>13</v>
      </c>
      <c r="F665" s="2" t="s">
        <v>16</v>
      </c>
      <c r="G665" s="2">
        <v>22</v>
      </c>
      <c r="H665" s="9">
        <v>99</v>
      </c>
    </row>
    <row r="666" spans="2:8" x14ac:dyDescent="0.25">
      <c r="B666" s="3">
        <v>44661</v>
      </c>
      <c r="C666" s="2" t="s">
        <v>29</v>
      </c>
      <c r="D666" s="2" t="s">
        <v>18</v>
      </c>
      <c r="E666" s="2" t="s">
        <v>13</v>
      </c>
      <c r="F666" s="2" t="s">
        <v>10</v>
      </c>
      <c r="G666" s="2">
        <v>60</v>
      </c>
      <c r="H666" s="9">
        <v>30</v>
      </c>
    </row>
    <row r="667" spans="2:8" x14ac:dyDescent="0.25">
      <c r="B667" s="3">
        <v>44661</v>
      </c>
      <c r="C667" s="2" t="s">
        <v>28</v>
      </c>
      <c r="D667" s="2" t="s">
        <v>8</v>
      </c>
      <c r="E667" s="2" t="s">
        <v>13</v>
      </c>
      <c r="F667" s="2" t="s">
        <v>16</v>
      </c>
      <c r="G667" s="2">
        <v>61</v>
      </c>
      <c r="H667" s="9">
        <v>143</v>
      </c>
    </row>
    <row r="668" spans="2:8" x14ac:dyDescent="0.25">
      <c r="B668" s="3">
        <v>44661</v>
      </c>
      <c r="C668" s="2" t="s">
        <v>17</v>
      </c>
      <c r="D668" s="2" t="s">
        <v>18</v>
      </c>
      <c r="E668" s="2" t="s">
        <v>13</v>
      </c>
      <c r="F668" s="2" t="s">
        <v>16</v>
      </c>
      <c r="G668" s="2">
        <v>36</v>
      </c>
      <c r="H668" s="9">
        <v>122</v>
      </c>
    </row>
    <row r="669" spans="2:8" x14ac:dyDescent="0.25">
      <c r="B669" s="3">
        <v>44661</v>
      </c>
      <c r="C669" s="2" t="s">
        <v>27</v>
      </c>
      <c r="D669" s="2" t="s">
        <v>18</v>
      </c>
      <c r="E669" s="2" t="s">
        <v>13</v>
      </c>
      <c r="F669" s="2" t="s">
        <v>16</v>
      </c>
      <c r="G669" s="2">
        <v>50</v>
      </c>
      <c r="H669" s="9">
        <v>136</v>
      </c>
    </row>
    <row r="670" spans="2:8" x14ac:dyDescent="0.25">
      <c r="B670" s="3">
        <v>44661</v>
      </c>
      <c r="C670" s="2" t="s">
        <v>19</v>
      </c>
      <c r="D670" s="2" t="s">
        <v>12</v>
      </c>
      <c r="E670" s="2" t="s">
        <v>13</v>
      </c>
      <c r="F670" s="2" t="s">
        <v>16</v>
      </c>
      <c r="G670" s="2">
        <v>87</v>
      </c>
      <c r="H670" s="9">
        <v>45</v>
      </c>
    </row>
    <row r="671" spans="2:8" x14ac:dyDescent="0.25">
      <c r="B671" s="3">
        <v>44662</v>
      </c>
      <c r="C671" s="2" t="s">
        <v>23</v>
      </c>
      <c r="D671" s="2" t="s">
        <v>18</v>
      </c>
      <c r="E671" s="2" t="s">
        <v>13</v>
      </c>
      <c r="F671" s="2" t="s">
        <v>14</v>
      </c>
      <c r="G671" s="2">
        <v>34</v>
      </c>
      <c r="H671" s="9">
        <v>146</v>
      </c>
    </row>
    <row r="672" spans="2:8" x14ac:dyDescent="0.25">
      <c r="B672" s="3">
        <v>44662</v>
      </c>
      <c r="C672" s="2" t="s">
        <v>7</v>
      </c>
      <c r="D672" s="2" t="s">
        <v>8</v>
      </c>
      <c r="E672" s="2" t="s">
        <v>13</v>
      </c>
      <c r="F672" s="2" t="s">
        <v>14</v>
      </c>
      <c r="G672" s="2">
        <v>79</v>
      </c>
      <c r="H672" s="9">
        <v>21</v>
      </c>
    </row>
    <row r="673" spans="2:8" x14ac:dyDescent="0.25">
      <c r="B673" s="3">
        <v>44662</v>
      </c>
      <c r="C673" s="2" t="s">
        <v>21</v>
      </c>
      <c r="D673" s="2" t="s">
        <v>8</v>
      </c>
      <c r="E673" s="2" t="s">
        <v>13</v>
      </c>
      <c r="F673" s="2" t="s">
        <v>16</v>
      </c>
      <c r="G673" s="2">
        <v>10</v>
      </c>
      <c r="H673" s="9">
        <v>37</v>
      </c>
    </row>
    <row r="674" spans="2:8" x14ac:dyDescent="0.25">
      <c r="B674" s="3">
        <v>44663</v>
      </c>
      <c r="C674" s="2" t="s">
        <v>7</v>
      </c>
      <c r="D674" s="2" t="s">
        <v>8</v>
      </c>
      <c r="E674" s="2" t="s">
        <v>13</v>
      </c>
      <c r="F674" s="2" t="s">
        <v>16</v>
      </c>
      <c r="G674" s="2">
        <v>64</v>
      </c>
      <c r="H674" s="9">
        <v>39</v>
      </c>
    </row>
    <row r="675" spans="2:8" x14ac:dyDescent="0.25">
      <c r="B675" s="3">
        <v>44663</v>
      </c>
      <c r="C675" s="2" t="s">
        <v>22</v>
      </c>
      <c r="D675" s="2" t="s">
        <v>12</v>
      </c>
      <c r="E675" s="2" t="s">
        <v>9</v>
      </c>
      <c r="F675" s="2" t="s">
        <v>14</v>
      </c>
      <c r="G675" s="2">
        <v>67</v>
      </c>
      <c r="H675" s="9">
        <v>141</v>
      </c>
    </row>
    <row r="676" spans="2:8" x14ac:dyDescent="0.25">
      <c r="B676" s="3">
        <v>44663</v>
      </c>
      <c r="C676" s="2" t="s">
        <v>11</v>
      </c>
      <c r="D676" s="2" t="s">
        <v>12</v>
      </c>
      <c r="E676" s="2" t="s">
        <v>13</v>
      </c>
      <c r="F676" s="2" t="s">
        <v>10</v>
      </c>
      <c r="G676" s="2">
        <v>76</v>
      </c>
      <c r="H676" s="9">
        <v>64</v>
      </c>
    </row>
    <row r="677" spans="2:8" x14ac:dyDescent="0.25">
      <c r="B677" s="3">
        <v>44663</v>
      </c>
      <c r="C677" s="2" t="s">
        <v>27</v>
      </c>
      <c r="D677" s="2" t="s">
        <v>18</v>
      </c>
      <c r="E677" s="2" t="s">
        <v>9</v>
      </c>
      <c r="F677" s="2" t="s">
        <v>14</v>
      </c>
      <c r="G677" s="2">
        <v>59</v>
      </c>
      <c r="H677" s="9">
        <v>43</v>
      </c>
    </row>
    <row r="678" spans="2:8" x14ac:dyDescent="0.25">
      <c r="B678" s="3">
        <v>44663</v>
      </c>
      <c r="C678" s="2" t="s">
        <v>24</v>
      </c>
      <c r="D678" s="2" t="s">
        <v>18</v>
      </c>
      <c r="E678" s="2" t="s">
        <v>9</v>
      </c>
      <c r="F678" s="2" t="s">
        <v>16</v>
      </c>
      <c r="G678" s="2">
        <v>21</v>
      </c>
      <c r="H678" s="9">
        <v>59</v>
      </c>
    </row>
    <row r="679" spans="2:8" x14ac:dyDescent="0.25">
      <c r="B679" s="3">
        <v>44663</v>
      </c>
      <c r="C679" s="2" t="s">
        <v>28</v>
      </c>
      <c r="D679" s="2" t="s">
        <v>8</v>
      </c>
      <c r="E679" s="2" t="s">
        <v>13</v>
      </c>
      <c r="F679" s="2" t="s">
        <v>10</v>
      </c>
      <c r="G679" s="2">
        <v>95</v>
      </c>
      <c r="H679" s="9">
        <v>70</v>
      </c>
    </row>
    <row r="680" spans="2:8" x14ac:dyDescent="0.25">
      <c r="B680" s="3">
        <v>44663</v>
      </c>
      <c r="C680" s="2" t="s">
        <v>24</v>
      </c>
      <c r="D680" s="2" t="s">
        <v>18</v>
      </c>
      <c r="E680" s="2" t="s">
        <v>13</v>
      </c>
      <c r="F680" s="2" t="s">
        <v>16</v>
      </c>
      <c r="G680" s="2">
        <v>39</v>
      </c>
      <c r="H680" s="9">
        <v>142</v>
      </c>
    </row>
    <row r="681" spans="2:8" x14ac:dyDescent="0.25">
      <c r="B681" s="3">
        <v>44663</v>
      </c>
      <c r="C681" s="2" t="s">
        <v>11</v>
      </c>
      <c r="D681" s="2" t="s">
        <v>12</v>
      </c>
      <c r="E681" s="2" t="s">
        <v>9</v>
      </c>
      <c r="F681" s="2" t="s">
        <v>10</v>
      </c>
      <c r="G681" s="2">
        <v>30</v>
      </c>
      <c r="H681" s="9">
        <v>116</v>
      </c>
    </row>
    <row r="682" spans="2:8" x14ac:dyDescent="0.25">
      <c r="B682" s="3">
        <v>44664</v>
      </c>
      <c r="C682" s="2" t="s">
        <v>26</v>
      </c>
      <c r="D682" s="2" t="s">
        <v>12</v>
      </c>
      <c r="E682" s="2" t="s">
        <v>13</v>
      </c>
      <c r="F682" s="2" t="s">
        <v>14</v>
      </c>
      <c r="G682" s="2">
        <v>54</v>
      </c>
      <c r="H682" s="9">
        <v>25</v>
      </c>
    </row>
    <row r="683" spans="2:8" x14ac:dyDescent="0.25">
      <c r="B683" s="3">
        <v>44664</v>
      </c>
      <c r="C683" s="2" t="s">
        <v>22</v>
      </c>
      <c r="D683" s="2" t="s">
        <v>12</v>
      </c>
      <c r="E683" s="2" t="s">
        <v>13</v>
      </c>
      <c r="F683" s="2" t="s">
        <v>16</v>
      </c>
      <c r="G683" s="2">
        <v>73</v>
      </c>
      <c r="H683" s="9">
        <v>43</v>
      </c>
    </row>
    <row r="684" spans="2:8" x14ac:dyDescent="0.25">
      <c r="B684" s="3">
        <v>44664</v>
      </c>
      <c r="C684" s="2" t="s">
        <v>24</v>
      </c>
      <c r="D684" s="2" t="s">
        <v>18</v>
      </c>
      <c r="E684" s="2" t="s">
        <v>13</v>
      </c>
      <c r="F684" s="2" t="s">
        <v>10</v>
      </c>
      <c r="G684" s="2">
        <v>39</v>
      </c>
      <c r="H684" s="9">
        <v>100</v>
      </c>
    </row>
    <row r="685" spans="2:8" x14ac:dyDescent="0.25">
      <c r="B685" s="3">
        <v>44664</v>
      </c>
      <c r="C685" s="2" t="s">
        <v>24</v>
      </c>
      <c r="D685" s="2" t="s">
        <v>18</v>
      </c>
      <c r="E685" s="2" t="s">
        <v>13</v>
      </c>
      <c r="F685" s="2" t="s">
        <v>10</v>
      </c>
      <c r="G685" s="2">
        <v>22</v>
      </c>
      <c r="H685" s="9">
        <v>91</v>
      </c>
    </row>
    <row r="686" spans="2:8" x14ac:dyDescent="0.25">
      <c r="B686" s="3">
        <v>44665</v>
      </c>
      <c r="C686" s="2" t="s">
        <v>19</v>
      </c>
      <c r="D686" s="2" t="s">
        <v>12</v>
      </c>
      <c r="E686" s="2" t="s">
        <v>13</v>
      </c>
      <c r="F686" s="2" t="s">
        <v>16</v>
      </c>
      <c r="G686" s="2">
        <v>72</v>
      </c>
      <c r="H686" s="9">
        <v>82</v>
      </c>
    </row>
    <row r="687" spans="2:8" x14ac:dyDescent="0.25">
      <c r="B687" s="3">
        <v>44665</v>
      </c>
      <c r="C687" s="2" t="s">
        <v>23</v>
      </c>
      <c r="D687" s="2" t="s">
        <v>18</v>
      </c>
      <c r="E687" s="2" t="s">
        <v>9</v>
      </c>
      <c r="F687" s="2" t="s">
        <v>14</v>
      </c>
      <c r="G687" s="2">
        <v>15</v>
      </c>
      <c r="H687" s="9">
        <v>64</v>
      </c>
    </row>
    <row r="688" spans="2:8" x14ac:dyDescent="0.25">
      <c r="B688" s="3">
        <v>44665</v>
      </c>
      <c r="C688" s="2" t="s">
        <v>24</v>
      </c>
      <c r="D688" s="2" t="s">
        <v>18</v>
      </c>
      <c r="E688" s="2" t="s">
        <v>9</v>
      </c>
      <c r="F688" s="2" t="s">
        <v>14</v>
      </c>
      <c r="G688" s="2">
        <v>96</v>
      </c>
      <c r="H688" s="9">
        <v>144</v>
      </c>
    </row>
    <row r="689" spans="2:8" x14ac:dyDescent="0.25">
      <c r="B689" s="3">
        <v>44665</v>
      </c>
      <c r="C689" s="2" t="s">
        <v>21</v>
      </c>
      <c r="D689" s="2" t="s">
        <v>8</v>
      </c>
      <c r="E689" s="2" t="s">
        <v>9</v>
      </c>
      <c r="F689" s="2" t="s">
        <v>14</v>
      </c>
      <c r="G689" s="2">
        <v>47</v>
      </c>
      <c r="H689" s="9">
        <v>92</v>
      </c>
    </row>
    <row r="690" spans="2:8" x14ac:dyDescent="0.25">
      <c r="B690" s="3">
        <v>44665</v>
      </c>
      <c r="C690" s="2" t="s">
        <v>25</v>
      </c>
      <c r="D690" s="2" t="s">
        <v>12</v>
      </c>
      <c r="E690" s="2" t="s">
        <v>9</v>
      </c>
      <c r="F690" s="2" t="s">
        <v>14</v>
      </c>
      <c r="G690" s="2">
        <v>30</v>
      </c>
      <c r="H690" s="9">
        <v>27</v>
      </c>
    </row>
    <row r="691" spans="2:8" x14ac:dyDescent="0.25">
      <c r="B691" s="3">
        <v>44665</v>
      </c>
      <c r="C691" s="2" t="s">
        <v>24</v>
      </c>
      <c r="D691" s="2" t="s">
        <v>18</v>
      </c>
      <c r="E691" s="2" t="s">
        <v>13</v>
      </c>
      <c r="F691" s="2" t="s">
        <v>16</v>
      </c>
      <c r="G691" s="2">
        <v>24</v>
      </c>
      <c r="H691" s="9">
        <v>73</v>
      </c>
    </row>
    <row r="692" spans="2:8" x14ac:dyDescent="0.25">
      <c r="B692" s="3">
        <v>44665</v>
      </c>
      <c r="C692" s="2" t="s">
        <v>15</v>
      </c>
      <c r="D692" s="2" t="s">
        <v>8</v>
      </c>
      <c r="E692" s="2" t="s">
        <v>9</v>
      </c>
      <c r="F692" s="2" t="s">
        <v>14</v>
      </c>
      <c r="G692" s="2">
        <v>76</v>
      </c>
      <c r="H692" s="9">
        <v>42</v>
      </c>
    </row>
    <row r="693" spans="2:8" x14ac:dyDescent="0.25">
      <c r="B693" s="3">
        <v>44665</v>
      </c>
      <c r="C693" s="2" t="s">
        <v>25</v>
      </c>
      <c r="D693" s="2" t="s">
        <v>12</v>
      </c>
      <c r="E693" s="2" t="s">
        <v>13</v>
      </c>
      <c r="F693" s="2" t="s">
        <v>16</v>
      </c>
      <c r="G693" s="2">
        <v>76</v>
      </c>
      <c r="H693" s="9">
        <v>49</v>
      </c>
    </row>
    <row r="694" spans="2:8" x14ac:dyDescent="0.25">
      <c r="B694" s="3">
        <v>44666</v>
      </c>
      <c r="C694" s="2" t="s">
        <v>24</v>
      </c>
      <c r="D694" s="2" t="s">
        <v>18</v>
      </c>
      <c r="E694" s="2" t="s">
        <v>13</v>
      </c>
      <c r="F694" s="2" t="s">
        <v>10</v>
      </c>
      <c r="G694" s="2">
        <v>78</v>
      </c>
      <c r="H694" s="9">
        <v>25</v>
      </c>
    </row>
    <row r="695" spans="2:8" x14ac:dyDescent="0.25">
      <c r="B695" s="3">
        <v>44666</v>
      </c>
      <c r="C695" s="2" t="s">
        <v>17</v>
      </c>
      <c r="D695" s="2" t="s">
        <v>18</v>
      </c>
      <c r="E695" s="2" t="s">
        <v>9</v>
      </c>
      <c r="F695" s="2" t="s">
        <v>10</v>
      </c>
      <c r="G695" s="2">
        <v>98</v>
      </c>
      <c r="H695" s="9">
        <v>73</v>
      </c>
    </row>
    <row r="696" spans="2:8" x14ac:dyDescent="0.25">
      <c r="B696" s="3">
        <v>44666</v>
      </c>
      <c r="C696" s="2" t="s">
        <v>25</v>
      </c>
      <c r="D696" s="2" t="s">
        <v>12</v>
      </c>
      <c r="E696" s="2" t="s">
        <v>13</v>
      </c>
      <c r="F696" s="2" t="s">
        <v>10</v>
      </c>
      <c r="G696" s="2">
        <v>58</v>
      </c>
      <c r="H696" s="9">
        <v>74</v>
      </c>
    </row>
    <row r="697" spans="2:8" x14ac:dyDescent="0.25">
      <c r="B697" s="3">
        <v>44666</v>
      </c>
      <c r="C697" s="2" t="s">
        <v>15</v>
      </c>
      <c r="D697" s="2" t="s">
        <v>8</v>
      </c>
      <c r="E697" s="2" t="s">
        <v>13</v>
      </c>
      <c r="F697" s="2" t="s">
        <v>10</v>
      </c>
      <c r="G697" s="2">
        <v>14</v>
      </c>
      <c r="H697" s="9">
        <v>94</v>
      </c>
    </row>
    <row r="698" spans="2:8" x14ac:dyDescent="0.25">
      <c r="B698" s="3">
        <v>44666</v>
      </c>
      <c r="C698" s="2" t="s">
        <v>7</v>
      </c>
      <c r="D698" s="2" t="s">
        <v>8</v>
      </c>
      <c r="E698" s="2" t="s">
        <v>9</v>
      </c>
      <c r="F698" s="2" t="s">
        <v>14</v>
      </c>
      <c r="G698" s="2">
        <v>20</v>
      </c>
      <c r="H698" s="9">
        <v>49</v>
      </c>
    </row>
    <row r="699" spans="2:8" x14ac:dyDescent="0.25">
      <c r="B699" s="3">
        <v>44666</v>
      </c>
      <c r="C699" s="2" t="s">
        <v>25</v>
      </c>
      <c r="D699" s="2" t="s">
        <v>12</v>
      </c>
      <c r="E699" s="2" t="s">
        <v>9</v>
      </c>
      <c r="F699" s="2" t="s">
        <v>16</v>
      </c>
      <c r="G699" s="2">
        <v>38</v>
      </c>
      <c r="H699" s="9">
        <v>33</v>
      </c>
    </row>
    <row r="700" spans="2:8" x14ac:dyDescent="0.25">
      <c r="B700" s="3">
        <v>44666</v>
      </c>
      <c r="C700" s="2" t="s">
        <v>28</v>
      </c>
      <c r="D700" s="2" t="s">
        <v>8</v>
      </c>
      <c r="E700" s="2" t="s">
        <v>9</v>
      </c>
      <c r="F700" s="2" t="s">
        <v>14</v>
      </c>
      <c r="G700" s="2">
        <v>84</v>
      </c>
      <c r="H700" s="9">
        <v>37</v>
      </c>
    </row>
    <row r="701" spans="2:8" x14ac:dyDescent="0.25">
      <c r="B701" s="3">
        <v>44666</v>
      </c>
      <c r="C701" s="2" t="s">
        <v>21</v>
      </c>
      <c r="D701" s="2" t="s">
        <v>8</v>
      </c>
      <c r="E701" s="2" t="s">
        <v>13</v>
      </c>
      <c r="F701" s="2" t="s">
        <v>16</v>
      </c>
      <c r="G701" s="2">
        <v>69</v>
      </c>
      <c r="H701" s="9">
        <v>140</v>
      </c>
    </row>
    <row r="702" spans="2:8" x14ac:dyDescent="0.25">
      <c r="B702" s="3">
        <v>44666</v>
      </c>
      <c r="C702" s="2" t="s">
        <v>27</v>
      </c>
      <c r="D702" s="2" t="s">
        <v>18</v>
      </c>
      <c r="E702" s="2" t="s">
        <v>13</v>
      </c>
      <c r="F702" s="2" t="s">
        <v>16</v>
      </c>
      <c r="G702" s="2">
        <v>71</v>
      </c>
      <c r="H702" s="9">
        <v>57</v>
      </c>
    </row>
    <row r="703" spans="2:8" x14ac:dyDescent="0.25">
      <c r="B703" s="3">
        <v>44666</v>
      </c>
      <c r="C703" s="2" t="s">
        <v>17</v>
      </c>
      <c r="D703" s="2" t="s">
        <v>18</v>
      </c>
      <c r="E703" s="2" t="s">
        <v>9</v>
      </c>
      <c r="F703" s="2" t="s">
        <v>14</v>
      </c>
      <c r="G703" s="2">
        <v>82</v>
      </c>
      <c r="H703" s="9">
        <v>62</v>
      </c>
    </row>
    <row r="704" spans="2:8" x14ac:dyDescent="0.25">
      <c r="B704" s="3">
        <v>44666</v>
      </c>
      <c r="C704" s="2" t="s">
        <v>22</v>
      </c>
      <c r="D704" s="2" t="s">
        <v>12</v>
      </c>
      <c r="E704" s="2" t="s">
        <v>13</v>
      </c>
      <c r="F704" s="2" t="s">
        <v>10</v>
      </c>
      <c r="G704" s="2">
        <v>26</v>
      </c>
      <c r="H704" s="9">
        <v>57</v>
      </c>
    </row>
    <row r="705" spans="2:8" x14ac:dyDescent="0.25">
      <c r="B705" s="3">
        <v>44667</v>
      </c>
      <c r="C705" s="2" t="s">
        <v>25</v>
      </c>
      <c r="D705" s="2" t="s">
        <v>12</v>
      </c>
      <c r="E705" s="2" t="s">
        <v>9</v>
      </c>
      <c r="F705" s="2" t="s">
        <v>10</v>
      </c>
      <c r="G705" s="2">
        <v>93</v>
      </c>
      <c r="H705" s="9">
        <v>139</v>
      </c>
    </row>
    <row r="706" spans="2:8" x14ac:dyDescent="0.25">
      <c r="B706" s="3">
        <v>44667</v>
      </c>
      <c r="C706" s="2" t="s">
        <v>27</v>
      </c>
      <c r="D706" s="2" t="s">
        <v>18</v>
      </c>
      <c r="E706" s="2" t="s">
        <v>13</v>
      </c>
      <c r="F706" s="2" t="s">
        <v>16</v>
      </c>
      <c r="G706" s="2">
        <v>40</v>
      </c>
      <c r="H706" s="9">
        <v>112</v>
      </c>
    </row>
    <row r="707" spans="2:8" x14ac:dyDescent="0.25">
      <c r="B707" s="3">
        <v>44667</v>
      </c>
      <c r="C707" s="2" t="s">
        <v>24</v>
      </c>
      <c r="D707" s="2" t="s">
        <v>18</v>
      </c>
      <c r="E707" s="2" t="s">
        <v>9</v>
      </c>
      <c r="F707" s="2" t="s">
        <v>14</v>
      </c>
      <c r="G707" s="2">
        <v>10</v>
      </c>
      <c r="H707" s="9">
        <v>91</v>
      </c>
    </row>
    <row r="708" spans="2:8" x14ac:dyDescent="0.25">
      <c r="B708" s="3">
        <v>44667</v>
      </c>
      <c r="C708" s="2" t="s">
        <v>24</v>
      </c>
      <c r="D708" s="2" t="s">
        <v>18</v>
      </c>
      <c r="E708" s="2" t="s">
        <v>9</v>
      </c>
      <c r="F708" s="2" t="s">
        <v>10</v>
      </c>
      <c r="G708" s="2">
        <v>47</v>
      </c>
      <c r="H708" s="9">
        <v>48</v>
      </c>
    </row>
    <row r="709" spans="2:8" x14ac:dyDescent="0.25">
      <c r="B709" s="3">
        <v>44667</v>
      </c>
      <c r="C709" s="2" t="s">
        <v>22</v>
      </c>
      <c r="D709" s="2" t="s">
        <v>12</v>
      </c>
      <c r="E709" s="2" t="s">
        <v>13</v>
      </c>
      <c r="F709" s="2" t="s">
        <v>14</v>
      </c>
      <c r="G709" s="2">
        <v>30</v>
      </c>
      <c r="H709" s="9">
        <v>66</v>
      </c>
    </row>
    <row r="710" spans="2:8" x14ac:dyDescent="0.25">
      <c r="B710" s="3">
        <v>44667</v>
      </c>
      <c r="C710" s="2" t="s">
        <v>21</v>
      </c>
      <c r="D710" s="2" t="s">
        <v>8</v>
      </c>
      <c r="E710" s="2" t="s">
        <v>13</v>
      </c>
      <c r="F710" s="2" t="s">
        <v>10</v>
      </c>
      <c r="G710" s="2">
        <v>81</v>
      </c>
      <c r="H710" s="9">
        <v>27</v>
      </c>
    </row>
    <row r="711" spans="2:8" x14ac:dyDescent="0.25">
      <c r="B711" s="3">
        <v>44668</v>
      </c>
      <c r="C711" s="2" t="s">
        <v>27</v>
      </c>
      <c r="D711" s="2" t="s">
        <v>18</v>
      </c>
      <c r="E711" s="2" t="s">
        <v>13</v>
      </c>
      <c r="F711" s="2" t="s">
        <v>10</v>
      </c>
      <c r="G711" s="2">
        <v>89</v>
      </c>
      <c r="H711" s="9">
        <v>31</v>
      </c>
    </row>
    <row r="712" spans="2:8" x14ac:dyDescent="0.25">
      <c r="B712" s="3">
        <v>44668</v>
      </c>
      <c r="C712" s="2" t="s">
        <v>21</v>
      </c>
      <c r="D712" s="2" t="s">
        <v>8</v>
      </c>
      <c r="E712" s="2" t="s">
        <v>13</v>
      </c>
      <c r="F712" s="2" t="s">
        <v>14</v>
      </c>
      <c r="G712" s="2">
        <v>51</v>
      </c>
      <c r="H712" s="9">
        <v>55</v>
      </c>
    </row>
    <row r="713" spans="2:8" x14ac:dyDescent="0.25">
      <c r="B713" s="3">
        <v>44668</v>
      </c>
      <c r="C713" s="2" t="s">
        <v>22</v>
      </c>
      <c r="D713" s="2" t="s">
        <v>12</v>
      </c>
      <c r="E713" s="2" t="s">
        <v>13</v>
      </c>
      <c r="F713" s="2" t="s">
        <v>10</v>
      </c>
      <c r="G713" s="2">
        <v>20</v>
      </c>
      <c r="H713" s="9">
        <v>116</v>
      </c>
    </row>
    <row r="714" spans="2:8" x14ac:dyDescent="0.25">
      <c r="B714" s="3">
        <v>44668</v>
      </c>
      <c r="C714" s="2" t="s">
        <v>7</v>
      </c>
      <c r="D714" s="2" t="s">
        <v>8</v>
      </c>
      <c r="E714" s="2" t="s">
        <v>13</v>
      </c>
      <c r="F714" s="2" t="s">
        <v>16</v>
      </c>
      <c r="G714" s="2">
        <v>42</v>
      </c>
      <c r="H714" s="9">
        <v>101</v>
      </c>
    </row>
    <row r="715" spans="2:8" x14ac:dyDescent="0.25">
      <c r="B715" s="3">
        <v>44669</v>
      </c>
      <c r="C715" s="2" t="s">
        <v>15</v>
      </c>
      <c r="D715" s="2" t="s">
        <v>8</v>
      </c>
      <c r="E715" s="2" t="s">
        <v>13</v>
      </c>
      <c r="F715" s="2" t="s">
        <v>10</v>
      </c>
      <c r="G715" s="2">
        <v>69</v>
      </c>
      <c r="H715" s="9">
        <v>134</v>
      </c>
    </row>
    <row r="716" spans="2:8" x14ac:dyDescent="0.25">
      <c r="B716" s="3">
        <v>44669</v>
      </c>
      <c r="C716" s="2" t="s">
        <v>23</v>
      </c>
      <c r="D716" s="2" t="s">
        <v>18</v>
      </c>
      <c r="E716" s="2" t="s">
        <v>9</v>
      </c>
      <c r="F716" s="2" t="s">
        <v>16</v>
      </c>
      <c r="G716" s="2">
        <v>66</v>
      </c>
      <c r="H716" s="9">
        <v>32</v>
      </c>
    </row>
    <row r="717" spans="2:8" x14ac:dyDescent="0.25">
      <c r="B717" s="3">
        <v>44669</v>
      </c>
      <c r="C717" s="2" t="s">
        <v>24</v>
      </c>
      <c r="D717" s="2" t="s">
        <v>18</v>
      </c>
      <c r="E717" s="2" t="s">
        <v>13</v>
      </c>
      <c r="F717" s="2" t="s">
        <v>10</v>
      </c>
      <c r="G717" s="2">
        <v>13</v>
      </c>
      <c r="H717" s="9">
        <v>51</v>
      </c>
    </row>
    <row r="718" spans="2:8" x14ac:dyDescent="0.25">
      <c r="B718" s="3">
        <v>44669</v>
      </c>
      <c r="C718" s="2" t="s">
        <v>25</v>
      </c>
      <c r="D718" s="2" t="s">
        <v>12</v>
      </c>
      <c r="E718" s="2" t="s">
        <v>9</v>
      </c>
      <c r="F718" s="2" t="s">
        <v>10</v>
      </c>
      <c r="G718" s="2">
        <v>70</v>
      </c>
      <c r="H718" s="9">
        <v>134</v>
      </c>
    </row>
    <row r="719" spans="2:8" x14ac:dyDescent="0.25">
      <c r="B719" s="3">
        <v>44669</v>
      </c>
      <c r="C719" s="2" t="s">
        <v>23</v>
      </c>
      <c r="D719" s="2" t="s">
        <v>18</v>
      </c>
      <c r="E719" s="2" t="s">
        <v>9</v>
      </c>
      <c r="F719" s="2" t="s">
        <v>16</v>
      </c>
      <c r="G719" s="2">
        <v>32</v>
      </c>
      <c r="H719" s="9">
        <v>35</v>
      </c>
    </row>
    <row r="720" spans="2:8" x14ac:dyDescent="0.25">
      <c r="B720" s="3">
        <v>44669</v>
      </c>
      <c r="C720" s="2" t="s">
        <v>25</v>
      </c>
      <c r="D720" s="2" t="s">
        <v>12</v>
      </c>
      <c r="E720" s="2" t="s">
        <v>13</v>
      </c>
      <c r="F720" s="2" t="s">
        <v>14</v>
      </c>
      <c r="G720" s="2">
        <v>34</v>
      </c>
      <c r="H720" s="9">
        <v>93</v>
      </c>
    </row>
    <row r="721" spans="2:8" x14ac:dyDescent="0.25">
      <c r="B721" s="3">
        <v>44669</v>
      </c>
      <c r="C721" s="2" t="s">
        <v>22</v>
      </c>
      <c r="D721" s="2" t="s">
        <v>12</v>
      </c>
      <c r="E721" s="2" t="s">
        <v>13</v>
      </c>
      <c r="F721" s="2" t="s">
        <v>14</v>
      </c>
      <c r="G721" s="2">
        <v>42</v>
      </c>
      <c r="H721" s="9">
        <v>149</v>
      </c>
    </row>
    <row r="722" spans="2:8" x14ac:dyDescent="0.25">
      <c r="B722" s="3">
        <v>44669</v>
      </c>
      <c r="C722" s="2" t="s">
        <v>17</v>
      </c>
      <c r="D722" s="2" t="s">
        <v>18</v>
      </c>
      <c r="E722" s="2" t="s">
        <v>9</v>
      </c>
      <c r="F722" s="2" t="s">
        <v>16</v>
      </c>
      <c r="G722" s="2">
        <v>70</v>
      </c>
      <c r="H722" s="9">
        <v>27</v>
      </c>
    </row>
    <row r="723" spans="2:8" x14ac:dyDescent="0.25">
      <c r="B723" s="3">
        <v>44669</v>
      </c>
      <c r="C723" s="2" t="s">
        <v>15</v>
      </c>
      <c r="D723" s="2" t="s">
        <v>8</v>
      </c>
      <c r="E723" s="2" t="s">
        <v>9</v>
      </c>
      <c r="F723" s="2" t="s">
        <v>16</v>
      </c>
      <c r="G723" s="2">
        <v>13</v>
      </c>
      <c r="H723" s="9">
        <v>102</v>
      </c>
    </row>
    <row r="724" spans="2:8" x14ac:dyDescent="0.25">
      <c r="B724" s="3">
        <v>44670</v>
      </c>
      <c r="C724" s="2" t="s">
        <v>29</v>
      </c>
      <c r="D724" s="2" t="s">
        <v>18</v>
      </c>
      <c r="E724" s="2" t="s">
        <v>9</v>
      </c>
      <c r="F724" s="2" t="s">
        <v>10</v>
      </c>
      <c r="G724" s="2">
        <v>95</v>
      </c>
      <c r="H724" s="9">
        <v>33</v>
      </c>
    </row>
    <row r="725" spans="2:8" x14ac:dyDescent="0.25">
      <c r="B725" s="3">
        <v>44670</v>
      </c>
      <c r="C725" s="2" t="s">
        <v>19</v>
      </c>
      <c r="D725" s="2" t="s">
        <v>12</v>
      </c>
      <c r="E725" s="2" t="s">
        <v>9</v>
      </c>
      <c r="F725" s="2" t="s">
        <v>14</v>
      </c>
      <c r="G725" s="2">
        <v>39</v>
      </c>
      <c r="H725" s="9">
        <v>120</v>
      </c>
    </row>
    <row r="726" spans="2:8" x14ac:dyDescent="0.25">
      <c r="B726" s="3">
        <v>44670</v>
      </c>
      <c r="C726" s="2" t="s">
        <v>26</v>
      </c>
      <c r="D726" s="2" t="s">
        <v>12</v>
      </c>
      <c r="E726" s="2" t="s">
        <v>13</v>
      </c>
      <c r="F726" s="2" t="s">
        <v>14</v>
      </c>
      <c r="G726" s="2">
        <v>50</v>
      </c>
      <c r="H726" s="9">
        <v>31</v>
      </c>
    </row>
    <row r="727" spans="2:8" x14ac:dyDescent="0.25">
      <c r="B727" s="3">
        <v>44670</v>
      </c>
      <c r="C727" s="2" t="s">
        <v>7</v>
      </c>
      <c r="D727" s="2" t="s">
        <v>8</v>
      </c>
      <c r="E727" s="2" t="s">
        <v>9</v>
      </c>
      <c r="F727" s="2" t="s">
        <v>10</v>
      </c>
      <c r="G727" s="2">
        <v>76</v>
      </c>
      <c r="H727" s="9">
        <v>90</v>
      </c>
    </row>
    <row r="728" spans="2:8" x14ac:dyDescent="0.25">
      <c r="B728" s="3">
        <v>44670</v>
      </c>
      <c r="C728" s="2" t="s">
        <v>19</v>
      </c>
      <c r="D728" s="2" t="s">
        <v>12</v>
      </c>
      <c r="E728" s="2" t="s">
        <v>9</v>
      </c>
      <c r="F728" s="2" t="s">
        <v>14</v>
      </c>
      <c r="G728" s="2">
        <v>71</v>
      </c>
      <c r="H728" s="9">
        <v>111</v>
      </c>
    </row>
    <row r="729" spans="2:8" x14ac:dyDescent="0.25">
      <c r="B729" s="3">
        <v>44670</v>
      </c>
      <c r="C729" s="2" t="s">
        <v>21</v>
      </c>
      <c r="D729" s="2" t="s">
        <v>8</v>
      </c>
      <c r="E729" s="2" t="s">
        <v>9</v>
      </c>
      <c r="F729" s="2" t="s">
        <v>10</v>
      </c>
      <c r="G729" s="2">
        <v>76</v>
      </c>
      <c r="H729" s="9">
        <v>78</v>
      </c>
    </row>
    <row r="730" spans="2:8" x14ac:dyDescent="0.25">
      <c r="B730" s="3">
        <v>44670</v>
      </c>
      <c r="C730" s="2" t="s">
        <v>24</v>
      </c>
      <c r="D730" s="2" t="s">
        <v>18</v>
      </c>
      <c r="E730" s="2" t="s">
        <v>13</v>
      </c>
      <c r="F730" s="2" t="s">
        <v>10</v>
      </c>
      <c r="G730" s="2">
        <v>68</v>
      </c>
      <c r="H730" s="9">
        <v>148</v>
      </c>
    </row>
    <row r="731" spans="2:8" x14ac:dyDescent="0.25">
      <c r="B731" s="3">
        <v>44670</v>
      </c>
      <c r="C731" s="2" t="s">
        <v>17</v>
      </c>
      <c r="D731" s="2" t="s">
        <v>18</v>
      </c>
      <c r="E731" s="2" t="s">
        <v>9</v>
      </c>
      <c r="F731" s="2" t="s">
        <v>10</v>
      </c>
      <c r="G731" s="2">
        <v>31</v>
      </c>
      <c r="H731" s="9">
        <v>45</v>
      </c>
    </row>
    <row r="732" spans="2:8" x14ac:dyDescent="0.25">
      <c r="B732" s="3">
        <v>44670</v>
      </c>
      <c r="C732" s="2" t="s">
        <v>19</v>
      </c>
      <c r="D732" s="2" t="s">
        <v>12</v>
      </c>
      <c r="E732" s="2" t="s">
        <v>9</v>
      </c>
      <c r="F732" s="2" t="s">
        <v>16</v>
      </c>
      <c r="G732" s="2">
        <v>34</v>
      </c>
      <c r="H732" s="9">
        <v>94</v>
      </c>
    </row>
    <row r="733" spans="2:8" x14ac:dyDescent="0.25">
      <c r="B733" s="3">
        <v>44670</v>
      </c>
      <c r="C733" s="2" t="s">
        <v>22</v>
      </c>
      <c r="D733" s="2" t="s">
        <v>12</v>
      </c>
      <c r="E733" s="2" t="s">
        <v>9</v>
      </c>
      <c r="F733" s="2" t="s">
        <v>10</v>
      </c>
      <c r="G733" s="2">
        <v>42</v>
      </c>
      <c r="H733" s="9">
        <v>129</v>
      </c>
    </row>
    <row r="734" spans="2:8" x14ac:dyDescent="0.25">
      <c r="B734" s="3">
        <v>44670</v>
      </c>
      <c r="C734" s="2" t="s">
        <v>24</v>
      </c>
      <c r="D734" s="2" t="s">
        <v>18</v>
      </c>
      <c r="E734" s="2" t="s">
        <v>9</v>
      </c>
      <c r="F734" s="2" t="s">
        <v>14</v>
      </c>
      <c r="G734" s="2">
        <v>86</v>
      </c>
      <c r="H734" s="9">
        <v>122</v>
      </c>
    </row>
    <row r="735" spans="2:8" x14ac:dyDescent="0.25">
      <c r="B735" s="3">
        <v>44670</v>
      </c>
      <c r="C735" s="2" t="s">
        <v>20</v>
      </c>
      <c r="D735" s="2" t="s">
        <v>8</v>
      </c>
      <c r="E735" s="2" t="s">
        <v>13</v>
      </c>
      <c r="F735" s="2" t="s">
        <v>16</v>
      </c>
      <c r="G735" s="2">
        <v>19</v>
      </c>
      <c r="H735" s="9">
        <v>51</v>
      </c>
    </row>
    <row r="736" spans="2:8" x14ac:dyDescent="0.25">
      <c r="B736" s="3">
        <v>44670</v>
      </c>
      <c r="C736" s="2" t="s">
        <v>24</v>
      </c>
      <c r="D736" s="2" t="s">
        <v>18</v>
      </c>
      <c r="E736" s="2" t="s">
        <v>9</v>
      </c>
      <c r="F736" s="2" t="s">
        <v>10</v>
      </c>
      <c r="G736" s="2">
        <v>99</v>
      </c>
      <c r="H736" s="9">
        <v>36</v>
      </c>
    </row>
    <row r="737" spans="2:8" x14ac:dyDescent="0.25">
      <c r="B737" s="3">
        <v>44670</v>
      </c>
      <c r="C737" s="2" t="s">
        <v>7</v>
      </c>
      <c r="D737" s="2" t="s">
        <v>8</v>
      </c>
      <c r="E737" s="2" t="s">
        <v>9</v>
      </c>
      <c r="F737" s="2" t="s">
        <v>14</v>
      </c>
      <c r="G737" s="2">
        <v>47</v>
      </c>
      <c r="H737" s="9">
        <v>32</v>
      </c>
    </row>
    <row r="738" spans="2:8" x14ac:dyDescent="0.25">
      <c r="B738" s="3">
        <v>44670</v>
      </c>
      <c r="C738" s="2" t="s">
        <v>7</v>
      </c>
      <c r="D738" s="2" t="s">
        <v>8</v>
      </c>
      <c r="E738" s="2" t="s">
        <v>9</v>
      </c>
      <c r="F738" s="2" t="s">
        <v>10</v>
      </c>
      <c r="G738" s="2">
        <v>64</v>
      </c>
      <c r="H738" s="9">
        <v>105</v>
      </c>
    </row>
    <row r="739" spans="2:8" x14ac:dyDescent="0.25">
      <c r="B739" s="3">
        <v>44671</v>
      </c>
      <c r="C739" s="2" t="s">
        <v>26</v>
      </c>
      <c r="D739" s="2" t="s">
        <v>12</v>
      </c>
      <c r="E739" s="2" t="s">
        <v>9</v>
      </c>
      <c r="F739" s="2" t="s">
        <v>14</v>
      </c>
      <c r="G739" s="2">
        <v>73</v>
      </c>
      <c r="H739" s="9">
        <v>121</v>
      </c>
    </row>
    <row r="740" spans="2:8" x14ac:dyDescent="0.25">
      <c r="B740" s="3">
        <v>44671</v>
      </c>
      <c r="C740" s="2" t="s">
        <v>15</v>
      </c>
      <c r="D740" s="2" t="s">
        <v>8</v>
      </c>
      <c r="E740" s="2" t="s">
        <v>9</v>
      </c>
      <c r="F740" s="2" t="s">
        <v>14</v>
      </c>
      <c r="G740" s="2">
        <v>38</v>
      </c>
      <c r="H740" s="9">
        <v>96</v>
      </c>
    </row>
    <row r="741" spans="2:8" x14ac:dyDescent="0.25">
      <c r="B741" s="3">
        <v>44671</v>
      </c>
      <c r="C741" s="2" t="s">
        <v>21</v>
      </c>
      <c r="D741" s="2" t="s">
        <v>8</v>
      </c>
      <c r="E741" s="2" t="s">
        <v>13</v>
      </c>
      <c r="F741" s="2" t="s">
        <v>16</v>
      </c>
      <c r="G741" s="2">
        <v>63</v>
      </c>
      <c r="H741" s="9">
        <v>22</v>
      </c>
    </row>
    <row r="742" spans="2:8" x14ac:dyDescent="0.25">
      <c r="B742" s="3">
        <v>44671</v>
      </c>
      <c r="C742" s="2" t="s">
        <v>26</v>
      </c>
      <c r="D742" s="2" t="s">
        <v>12</v>
      </c>
      <c r="E742" s="2" t="s">
        <v>13</v>
      </c>
      <c r="F742" s="2" t="s">
        <v>16</v>
      </c>
      <c r="G742" s="2">
        <v>97</v>
      </c>
      <c r="H742" s="9">
        <v>80</v>
      </c>
    </row>
    <row r="743" spans="2:8" x14ac:dyDescent="0.25">
      <c r="B743" s="3">
        <v>44671</v>
      </c>
      <c r="C743" s="2" t="s">
        <v>23</v>
      </c>
      <c r="D743" s="2" t="s">
        <v>18</v>
      </c>
      <c r="E743" s="2" t="s">
        <v>13</v>
      </c>
      <c r="F743" s="2" t="s">
        <v>10</v>
      </c>
      <c r="G743" s="2">
        <v>14</v>
      </c>
      <c r="H743" s="9">
        <v>143</v>
      </c>
    </row>
    <row r="744" spans="2:8" x14ac:dyDescent="0.25">
      <c r="B744" s="3">
        <v>44671</v>
      </c>
      <c r="C744" s="2" t="s">
        <v>17</v>
      </c>
      <c r="D744" s="2" t="s">
        <v>18</v>
      </c>
      <c r="E744" s="2" t="s">
        <v>9</v>
      </c>
      <c r="F744" s="2" t="s">
        <v>10</v>
      </c>
      <c r="G744" s="2">
        <v>46</v>
      </c>
      <c r="H744" s="9">
        <v>30</v>
      </c>
    </row>
    <row r="745" spans="2:8" x14ac:dyDescent="0.25">
      <c r="B745" s="3">
        <v>44671</v>
      </c>
      <c r="C745" s="2" t="s">
        <v>17</v>
      </c>
      <c r="D745" s="2" t="s">
        <v>18</v>
      </c>
      <c r="E745" s="2" t="s">
        <v>13</v>
      </c>
      <c r="F745" s="2" t="s">
        <v>14</v>
      </c>
      <c r="G745" s="2">
        <v>42</v>
      </c>
      <c r="H745" s="9">
        <v>88</v>
      </c>
    </row>
    <row r="746" spans="2:8" x14ac:dyDescent="0.25">
      <c r="B746" s="3">
        <v>44671</v>
      </c>
      <c r="C746" s="2" t="s">
        <v>15</v>
      </c>
      <c r="D746" s="2" t="s">
        <v>8</v>
      </c>
      <c r="E746" s="2" t="s">
        <v>9</v>
      </c>
      <c r="F746" s="2" t="s">
        <v>16</v>
      </c>
      <c r="G746" s="2">
        <v>30</v>
      </c>
      <c r="H746" s="9">
        <v>126</v>
      </c>
    </row>
    <row r="747" spans="2:8" x14ac:dyDescent="0.25">
      <c r="B747" s="3">
        <v>44671</v>
      </c>
      <c r="C747" s="2" t="s">
        <v>7</v>
      </c>
      <c r="D747" s="2" t="s">
        <v>8</v>
      </c>
      <c r="E747" s="2" t="s">
        <v>13</v>
      </c>
      <c r="F747" s="2" t="s">
        <v>14</v>
      </c>
      <c r="G747" s="2">
        <v>12</v>
      </c>
      <c r="H747" s="9">
        <v>84</v>
      </c>
    </row>
    <row r="748" spans="2:8" x14ac:dyDescent="0.25">
      <c r="B748" s="3">
        <v>44672</v>
      </c>
      <c r="C748" s="2" t="s">
        <v>17</v>
      </c>
      <c r="D748" s="2" t="s">
        <v>18</v>
      </c>
      <c r="E748" s="2" t="s">
        <v>9</v>
      </c>
      <c r="F748" s="2" t="s">
        <v>14</v>
      </c>
      <c r="G748" s="2">
        <v>18</v>
      </c>
      <c r="H748" s="9">
        <v>100</v>
      </c>
    </row>
    <row r="749" spans="2:8" x14ac:dyDescent="0.25">
      <c r="B749" s="3">
        <v>44672</v>
      </c>
      <c r="C749" s="2" t="s">
        <v>15</v>
      </c>
      <c r="D749" s="2" t="s">
        <v>8</v>
      </c>
      <c r="E749" s="2" t="s">
        <v>9</v>
      </c>
      <c r="F749" s="2" t="s">
        <v>16</v>
      </c>
      <c r="G749" s="2">
        <v>49</v>
      </c>
      <c r="H749" s="9">
        <v>104</v>
      </c>
    </row>
    <row r="750" spans="2:8" x14ac:dyDescent="0.25">
      <c r="B750" s="3">
        <v>44672</v>
      </c>
      <c r="C750" s="2" t="s">
        <v>24</v>
      </c>
      <c r="D750" s="2" t="s">
        <v>18</v>
      </c>
      <c r="E750" s="2" t="s">
        <v>9</v>
      </c>
      <c r="F750" s="2" t="s">
        <v>10</v>
      </c>
      <c r="G750" s="2">
        <v>83</v>
      </c>
      <c r="H750" s="9">
        <v>66</v>
      </c>
    </row>
    <row r="751" spans="2:8" x14ac:dyDescent="0.25">
      <c r="B751" s="3">
        <v>44672</v>
      </c>
      <c r="C751" s="2" t="s">
        <v>24</v>
      </c>
      <c r="D751" s="2" t="s">
        <v>18</v>
      </c>
      <c r="E751" s="2" t="s">
        <v>13</v>
      </c>
      <c r="F751" s="2" t="s">
        <v>14</v>
      </c>
      <c r="G751" s="2">
        <v>73</v>
      </c>
      <c r="H751" s="9">
        <v>62</v>
      </c>
    </row>
    <row r="752" spans="2:8" x14ac:dyDescent="0.25">
      <c r="B752" s="3">
        <v>44672</v>
      </c>
      <c r="C752" s="2" t="s">
        <v>7</v>
      </c>
      <c r="D752" s="2" t="s">
        <v>8</v>
      </c>
      <c r="E752" s="2" t="s">
        <v>13</v>
      </c>
      <c r="F752" s="2" t="s">
        <v>10</v>
      </c>
      <c r="G752" s="2">
        <v>27</v>
      </c>
      <c r="H752" s="9">
        <v>109</v>
      </c>
    </row>
    <row r="753" spans="2:8" x14ac:dyDescent="0.25">
      <c r="B753" s="3">
        <v>44673</v>
      </c>
      <c r="C753" s="2" t="s">
        <v>11</v>
      </c>
      <c r="D753" s="2" t="s">
        <v>12</v>
      </c>
      <c r="E753" s="2" t="s">
        <v>13</v>
      </c>
      <c r="F753" s="2" t="s">
        <v>16</v>
      </c>
      <c r="G753" s="2">
        <v>31</v>
      </c>
      <c r="H753" s="9">
        <v>145</v>
      </c>
    </row>
    <row r="754" spans="2:8" x14ac:dyDescent="0.25">
      <c r="B754" s="3">
        <v>44673</v>
      </c>
      <c r="C754" s="2" t="s">
        <v>11</v>
      </c>
      <c r="D754" s="2" t="s">
        <v>12</v>
      </c>
      <c r="E754" s="2" t="s">
        <v>13</v>
      </c>
      <c r="F754" s="2" t="s">
        <v>14</v>
      </c>
      <c r="G754" s="2">
        <v>40</v>
      </c>
      <c r="H754" s="9">
        <v>148</v>
      </c>
    </row>
    <row r="755" spans="2:8" x14ac:dyDescent="0.25">
      <c r="B755" s="3">
        <v>44673</v>
      </c>
      <c r="C755" s="2" t="s">
        <v>15</v>
      </c>
      <c r="D755" s="2" t="s">
        <v>8</v>
      </c>
      <c r="E755" s="2" t="s">
        <v>9</v>
      </c>
      <c r="F755" s="2" t="s">
        <v>16</v>
      </c>
      <c r="G755" s="2">
        <v>68</v>
      </c>
      <c r="H755" s="9">
        <v>148</v>
      </c>
    </row>
    <row r="756" spans="2:8" x14ac:dyDescent="0.25">
      <c r="B756" s="3">
        <v>44673</v>
      </c>
      <c r="C756" s="2" t="s">
        <v>23</v>
      </c>
      <c r="D756" s="2" t="s">
        <v>18</v>
      </c>
      <c r="E756" s="2" t="s">
        <v>13</v>
      </c>
      <c r="F756" s="2" t="s">
        <v>14</v>
      </c>
      <c r="G756" s="2">
        <v>17</v>
      </c>
      <c r="H756" s="9">
        <v>137</v>
      </c>
    </row>
    <row r="757" spans="2:8" x14ac:dyDescent="0.25">
      <c r="B757" s="3">
        <v>44673</v>
      </c>
      <c r="C757" s="2" t="s">
        <v>17</v>
      </c>
      <c r="D757" s="2" t="s">
        <v>18</v>
      </c>
      <c r="E757" s="2" t="s">
        <v>13</v>
      </c>
      <c r="F757" s="2" t="s">
        <v>16</v>
      </c>
      <c r="G757" s="2">
        <v>66</v>
      </c>
      <c r="H757" s="9">
        <v>137</v>
      </c>
    </row>
    <row r="758" spans="2:8" x14ac:dyDescent="0.25">
      <c r="B758" s="3">
        <v>44673</v>
      </c>
      <c r="C758" s="2" t="s">
        <v>23</v>
      </c>
      <c r="D758" s="2" t="s">
        <v>18</v>
      </c>
      <c r="E758" s="2" t="s">
        <v>13</v>
      </c>
      <c r="F758" s="2" t="s">
        <v>16</v>
      </c>
      <c r="G758" s="2">
        <v>77</v>
      </c>
      <c r="H758" s="9">
        <v>129</v>
      </c>
    </row>
    <row r="759" spans="2:8" x14ac:dyDescent="0.25">
      <c r="B759" s="3">
        <v>44673</v>
      </c>
      <c r="C759" s="2" t="s">
        <v>24</v>
      </c>
      <c r="D759" s="2" t="s">
        <v>18</v>
      </c>
      <c r="E759" s="2" t="s">
        <v>13</v>
      </c>
      <c r="F759" s="2" t="s">
        <v>14</v>
      </c>
      <c r="G759" s="2">
        <v>29</v>
      </c>
      <c r="H759" s="9">
        <v>92</v>
      </c>
    </row>
    <row r="760" spans="2:8" x14ac:dyDescent="0.25">
      <c r="B760" s="3">
        <v>44673</v>
      </c>
      <c r="C760" s="2" t="s">
        <v>7</v>
      </c>
      <c r="D760" s="2" t="s">
        <v>8</v>
      </c>
      <c r="E760" s="2" t="s">
        <v>13</v>
      </c>
      <c r="F760" s="2" t="s">
        <v>10</v>
      </c>
      <c r="G760" s="2">
        <v>17</v>
      </c>
      <c r="H760" s="9">
        <v>87</v>
      </c>
    </row>
    <row r="761" spans="2:8" x14ac:dyDescent="0.25">
      <c r="B761" s="3">
        <v>44674</v>
      </c>
      <c r="C761" s="2" t="s">
        <v>20</v>
      </c>
      <c r="D761" s="2" t="s">
        <v>8</v>
      </c>
      <c r="E761" s="2" t="s">
        <v>13</v>
      </c>
      <c r="F761" s="2" t="s">
        <v>14</v>
      </c>
      <c r="G761" s="2">
        <v>99</v>
      </c>
      <c r="H761" s="9">
        <v>27</v>
      </c>
    </row>
    <row r="762" spans="2:8" x14ac:dyDescent="0.25">
      <c r="B762" s="3">
        <v>44674</v>
      </c>
      <c r="C762" s="2" t="s">
        <v>27</v>
      </c>
      <c r="D762" s="2" t="s">
        <v>18</v>
      </c>
      <c r="E762" s="2" t="s">
        <v>13</v>
      </c>
      <c r="F762" s="2" t="s">
        <v>16</v>
      </c>
      <c r="G762" s="2">
        <v>32</v>
      </c>
      <c r="H762" s="9">
        <v>92</v>
      </c>
    </row>
    <row r="763" spans="2:8" x14ac:dyDescent="0.25">
      <c r="B763" s="3">
        <v>44674</v>
      </c>
      <c r="C763" s="2" t="s">
        <v>24</v>
      </c>
      <c r="D763" s="2" t="s">
        <v>18</v>
      </c>
      <c r="E763" s="2" t="s">
        <v>13</v>
      </c>
      <c r="F763" s="2" t="s">
        <v>10</v>
      </c>
      <c r="G763" s="2">
        <v>42</v>
      </c>
      <c r="H763" s="9">
        <v>105</v>
      </c>
    </row>
    <row r="764" spans="2:8" x14ac:dyDescent="0.25">
      <c r="B764" s="3">
        <v>44674</v>
      </c>
      <c r="C764" s="2" t="s">
        <v>21</v>
      </c>
      <c r="D764" s="2" t="s">
        <v>8</v>
      </c>
      <c r="E764" s="2" t="s">
        <v>9</v>
      </c>
      <c r="F764" s="2" t="s">
        <v>16</v>
      </c>
      <c r="G764" s="2">
        <v>10</v>
      </c>
      <c r="H764" s="9">
        <v>22</v>
      </c>
    </row>
    <row r="765" spans="2:8" x14ac:dyDescent="0.25">
      <c r="B765" s="3">
        <v>44674</v>
      </c>
      <c r="C765" s="2" t="s">
        <v>15</v>
      </c>
      <c r="D765" s="2" t="s">
        <v>8</v>
      </c>
      <c r="E765" s="2" t="s">
        <v>13</v>
      </c>
      <c r="F765" s="2" t="s">
        <v>14</v>
      </c>
      <c r="G765" s="2">
        <v>76</v>
      </c>
      <c r="H765" s="9">
        <v>54</v>
      </c>
    </row>
    <row r="766" spans="2:8" x14ac:dyDescent="0.25">
      <c r="B766" s="3">
        <v>44674</v>
      </c>
      <c r="C766" s="2" t="s">
        <v>28</v>
      </c>
      <c r="D766" s="2" t="s">
        <v>8</v>
      </c>
      <c r="E766" s="2" t="s">
        <v>13</v>
      </c>
      <c r="F766" s="2" t="s">
        <v>16</v>
      </c>
      <c r="G766" s="2">
        <v>28</v>
      </c>
      <c r="H766" s="9">
        <v>22</v>
      </c>
    </row>
    <row r="767" spans="2:8" x14ac:dyDescent="0.25">
      <c r="B767" s="3">
        <v>44674</v>
      </c>
      <c r="C767" s="2" t="s">
        <v>21</v>
      </c>
      <c r="D767" s="2" t="s">
        <v>8</v>
      </c>
      <c r="E767" s="2" t="s">
        <v>9</v>
      </c>
      <c r="F767" s="2" t="s">
        <v>10</v>
      </c>
      <c r="G767" s="2">
        <v>55</v>
      </c>
      <c r="H767" s="9">
        <v>68</v>
      </c>
    </row>
    <row r="768" spans="2:8" x14ac:dyDescent="0.25">
      <c r="B768" s="3">
        <v>44675</v>
      </c>
      <c r="C768" s="2" t="s">
        <v>17</v>
      </c>
      <c r="D768" s="2" t="s">
        <v>18</v>
      </c>
      <c r="E768" s="2" t="s">
        <v>13</v>
      </c>
      <c r="F768" s="2" t="s">
        <v>14</v>
      </c>
      <c r="G768" s="2">
        <v>70</v>
      </c>
      <c r="H768" s="9">
        <v>76</v>
      </c>
    </row>
    <row r="769" spans="2:8" x14ac:dyDescent="0.25">
      <c r="B769" s="3">
        <v>44675</v>
      </c>
      <c r="C769" s="2" t="s">
        <v>20</v>
      </c>
      <c r="D769" s="2" t="s">
        <v>8</v>
      </c>
      <c r="E769" s="2" t="s">
        <v>13</v>
      </c>
      <c r="F769" s="2" t="s">
        <v>14</v>
      </c>
      <c r="G769" s="2">
        <v>94</v>
      </c>
      <c r="H769" s="9">
        <v>23</v>
      </c>
    </row>
    <row r="770" spans="2:8" x14ac:dyDescent="0.25">
      <c r="B770" s="3">
        <v>44675</v>
      </c>
      <c r="C770" s="2" t="s">
        <v>17</v>
      </c>
      <c r="D770" s="2" t="s">
        <v>18</v>
      </c>
      <c r="E770" s="2" t="s">
        <v>9</v>
      </c>
      <c r="F770" s="2" t="s">
        <v>14</v>
      </c>
      <c r="G770" s="2">
        <v>72</v>
      </c>
      <c r="H770" s="9">
        <v>95</v>
      </c>
    </row>
    <row r="771" spans="2:8" x14ac:dyDescent="0.25">
      <c r="B771" s="3">
        <v>44675</v>
      </c>
      <c r="C771" s="2" t="s">
        <v>22</v>
      </c>
      <c r="D771" s="2" t="s">
        <v>12</v>
      </c>
      <c r="E771" s="2" t="s">
        <v>13</v>
      </c>
      <c r="F771" s="2" t="s">
        <v>10</v>
      </c>
      <c r="G771" s="2">
        <v>87</v>
      </c>
      <c r="H771" s="9">
        <v>60</v>
      </c>
    </row>
    <row r="772" spans="2:8" x14ac:dyDescent="0.25">
      <c r="B772" s="3">
        <v>44675</v>
      </c>
      <c r="C772" s="2" t="s">
        <v>24</v>
      </c>
      <c r="D772" s="2" t="s">
        <v>18</v>
      </c>
      <c r="E772" s="2" t="s">
        <v>9</v>
      </c>
      <c r="F772" s="2" t="s">
        <v>16</v>
      </c>
      <c r="G772" s="2">
        <v>27</v>
      </c>
      <c r="H772" s="9">
        <v>31</v>
      </c>
    </row>
    <row r="773" spans="2:8" x14ac:dyDescent="0.25">
      <c r="B773" s="3">
        <v>44675</v>
      </c>
      <c r="C773" s="2" t="s">
        <v>19</v>
      </c>
      <c r="D773" s="2" t="s">
        <v>12</v>
      </c>
      <c r="E773" s="2" t="s">
        <v>9</v>
      </c>
      <c r="F773" s="2" t="s">
        <v>14</v>
      </c>
      <c r="G773" s="2">
        <v>33</v>
      </c>
      <c r="H773" s="9">
        <v>71</v>
      </c>
    </row>
    <row r="774" spans="2:8" x14ac:dyDescent="0.25">
      <c r="B774" s="3">
        <v>44675</v>
      </c>
      <c r="C774" s="2" t="s">
        <v>27</v>
      </c>
      <c r="D774" s="2" t="s">
        <v>18</v>
      </c>
      <c r="E774" s="2" t="s">
        <v>9</v>
      </c>
      <c r="F774" s="2" t="s">
        <v>10</v>
      </c>
      <c r="G774" s="2">
        <v>66</v>
      </c>
      <c r="H774" s="9">
        <v>138</v>
      </c>
    </row>
    <row r="775" spans="2:8" x14ac:dyDescent="0.25">
      <c r="B775" s="3">
        <v>44675</v>
      </c>
      <c r="C775" s="2" t="s">
        <v>21</v>
      </c>
      <c r="D775" s="2" t="s">
        <v>8</v>
      </c>
      <c r="E775" s="2" t="s">
        <v>13</v>
      </c>
      <c r="F775" s="2" t="s">
        <v>14</v>
      </c>
      <c r="G775" s="2">
        <v>70</v>
      </c>
      <c r="H775" s="9">
        <v>50</v>
      </c>
    </row>
    <row r="776" spans="2:8" x14ac:dyDescent="0.25">
      <c r="B776" s="3">
        <v>44675</v>
      </c>
      <c r="C776" s="2" t="s">
        <v>20</v>
      </c>
      <c r="D776" s="2" t="s">
        <v>8</v>
      </c>
      <c r="E776" s="2" t="s">
        <v>13</v>
      </c>
      <c r="F776" s="2" t="s">
        <v>10</v>
      </c>
      <c r="G776" s="2">
        <v>100</v>
      </c>
      <c r="H776" s="9">
        <v>149</v>
      </c>
    </row>
    <row r="777" spans="2:8" x14ac:dyDescent="0.25">
      <c r="B777" s="3">
        <v>44676</v>
      </c>
      <c r="C777" s="2" t="s">
        <v>22</v>
      </c>
      <c r="D777" s="2" t="s">
        <v>12</v>
      </c>
      <c r="E777" s="2" t="s">
        <v>9</v>
      </c>
      <c r="F777" s="2" t="s">
        <v>14</v>
      </c>
      <c r="G777" s="2">
        <v>16</v>
      </c>
      <c r="H777" s="9">
        <v>107</v>
      </c>
    </row>
    <row r="778" spans="2:8" x14ac:dyDescent="0.25">
      <c r="B778" s="3">
        <v>44676</v>
      </c>
      <c r="C778" s="2" t="s">
        <v>27</v>
      </c>
      <c r="D778" s="2" t="s">
        <v>18</v>
      </c>
      <c r="E778" s="2" t="s">
        <v>9</v>
      </c>
      <c r="F778" s="2" t="s">
        <v>16</v>
      </c>
      <c r="G778" s="2">
        <v>74</v>
      </c>
      <c r="H778" s="9">
        <v>128</v>
      </c>
    </row>
    <row r="779" spans="2:8" x14ac:dyDescent="0.25">
      <c r="B779" s="3">
        <v>44676</v>
      </c>
      <c r="C779" s="2" t="s">
        <v>11</v>
      </c>
      <c r="D779" s="2" t="s">
        <v>12</v>
      </c>
      <c r="E779" s="2" t="s">
        <v>13</v>
      </c>
      <c r="F779" s="2" t="s">
        <v>10</v>
      </c>
      <c r="G779" s="2">
        <v>99</v>
      </c>
      <c r="H779" s="9">
        <v>135</v>
      </c>
    </row>
    <row r="780" spans="2:8" x14ac:dyDescent="0.25">
      <c r="B780" s="3">
        <v>44676</v>
      </c>
      <c r="C780" s="2" t="s">
        <v>20</v>
      </c>
      <c r="D780" s="2" t="s">
        <v>8</v>
      </c>
      <c r="E780" s="2" t="s">
        <v>13</v>
      </c>
      <c r="F780" s="2" t="s">
        <v>10</v>
      </c>
      <c r="G780" s="2">
        <v>83</v>
      </c>
      <c r="H780" s="9">
        <v>44</v>
      </c>
    </row>
    <row r="781" spans="2:8" x14ac:dyDescent="0.25">
      <c r="B781" s="3">
        <v>44677</v>
      </c>
      <c r="C781" s="2" t="s">
        <v>24</v>
      </c>
      <c r="D781" s="2" t="s">
        <v>18</v>
      </c>
      <c r="E781" s="2" t="s">
        <v>13</v>
      </c>
      <c r="F781" s="2" t="s">
        <v>16</v>
      </c>
      <c r="G781" s="2">
        <v>84</v>
      </c>
      <c r="H781" s="9">
        <v>122</v>
      </c>
    </row>
    <row r="782" spans="2:8" x14ac:dyDescent="0.25">
      <c r="B782" s="3">
        <v>44677</v>
      </c>
      <c r="C782" s="2" t="s">
        <v>21</v>
      </c>
      <c r="D782" s="2" t="s">
        <v>8</v>
      </c>
      <c r="E782" s="2" t="s">
        <v>9</v>
      </c>
      <c r="F782" s="2" t="s">
        <v>16</v>
      </c>
      <c r="G782" s="2">
        <v>63</v>
      </c>
      <c r="H782" s="9">
        <v>119</v>
      </c>
    </row>
    <row r="783" spans="2:8" x14ac:dyDescent="0.25">
      <c r="B783" s="3">
        <v>44677</v>
      </c>
      <c r="C783" s="2" t="s">
        <v>24</v>
      </c>
      <c r="D783" s="2" t="s">
        <v>18</v>
      </c>
      <c r="E783" s="2" t="s">
        <v>9</v>
      </c>
      <c r="F783" s="2" t="s">
        <v>14</v>
      </c>
      <c r="G783" s="2">
        <v>77</v>
      </c>
      <c r="H783" s="9">
        <v>149</v>
      </c>
    </row>
    <row r="784" spans="2:8" x14ac:dyDescent="0.25">
      <c r="B784" s="3">
        <v>44677</v>
      </c>
      <c r="C784" s="2" t="s">
        <v>17</v>
      </c>
      <c r="D784" s="2" t="s">
        <v>18</v>
      </c>
      <c r="E784" s="2" t="s">
        <v>13</v>
      </c>
      <c r="F784" s="2" t="s">
        <v>16</v>
      </c>
      <c r="G784" s="2">
        <v>86</v>
      </c>
      <c r="H784" s="9">
        <v>63</v>
      </c>
    </row>
    <row r="785" spans="2:8" x14ac:dyDescent="0.25">
      <c r="B785" s="3">
        <v>44677</v>
      </c>
      <c r="C785" s="2" t="s">
        <v>7</v>
      </c>
      <c r="D785" s="2" t="s">
        <v>8</v>
      </c>
      <c r="E785" s="2" t="s">
        <v>13</v>
      </c>
      <c r="F785" s="2" t="s">
        <v>16</v>
      </c>
      <c r="G785" s="2">
        <v>31</v>
      </c>
      <c r="H785" s="9">
        <v>114</v>
      </c>
    </row>
    <row r="786" spans="2:8" x14ac:dyDescent="0.25">
      <c r="B786" s="3">
        <v>44677</v>
      </c>
      <c r="C786" s="2" t="s">
        <v>26</v>
      </c>
      <c r="D786" s="2" t="s">
        <v>12</v>
      </c>
      <c r="E786" s="2" t="s">
        <v>9</v>
      </c>
      <c r="F786" s="2" t="s">
        <v>16</v>
      </c>
      <c r="G786" s="2">
        <v>94</v>
      </c>
      <c r="H786" s="9">
        <v>30</v>
      </c>
    </row>
    <row r="787" spans="2:8" x14ac:dyDescent="0.25">
      <c r="B787" s="3">
        <v>44678</v>
      </c>
      <c r="C787" s="2" t="s">
        <v>24</v>
      </c>
      <c r="D787" s="2" t="s">
        <v>18</v>
      </c>
      <c r="E787" s="2" t="s">
        <v>9</v>
      </c>
      <c r="F787" s="2" t="s">
        <v>16</v>
      </c>
      <c r="G787" s="2">
        <v>59</v>
      </c>
      <c r="H787" s="9">
        <v>120</v>
      </c>
    </row>
    <row r="788" spans="2:8" x14ac:dyDescent="0.25">
      <c r="B788" s="3">
        <v>44678</v>
      </c>
      <c r="C788" s="2" t="s">
        <v>27</v>
      </c>
      <c r="D788" s="2" t="s">
        <v>18</v>
      </c>
      <c r="E788" s="2" t="s">
        <v>9</v>
      </c>
      <c r="F788" s="2" t="s">
        <v>14</v>
      </c>
      <c r="G788" s="2">
        <v>96</v>
      </c>
      <c r="H788" s="9">
        <v>142</v>
      </c>
    </row>
    <row r="789" spans="2:8" x14ac:dyDescent="0.25">
      <c r="B789" s="3">
        <v>44678</v>
      </c>
      <c r="C789" s="2" t="s">
        <v>27</v>
      </c>
      <c r="D789" s="2" t="s">
        <v>18</v>
      </c>
      <c r="E789" s="2" t="s">
        <v>13</v>
      </c>
      <c r="F789" s="2" t="s">
        <v>10</v>
      </c>
      <c r="G789" s="2">
        <v>67</v>
      </c>
      <c r="H789" s="9">
        <v>89</v>
      </c>
    </row>
    <row r="790" spans="2:8" x14ac:dyDescent="0.25">
      <c r="B790" s="3">
        <v>44678</v>
      </c>
      <c r="C790" s="2" t="s">
        <v>28</v>
      </c>
      <c r="D790" s="2" t="s">
        <v>8</v>
      </c>
      <c r="E790" s="2" t="s">
        <v>9</v>
      </c>
      <c r="F790" s="2" t="s">
        <v>10</v>
      </c>
      <c r="G790" s="2">
        <v>75</v>
      </c>
      <c r="H790" s="9">
        <v>102</v>
      </c>
    </row>
    <row r="791" spans="2:8" x14ac:dyDescent="0.25">
      <c r="B791" s="3">
        <v>44678</v>
      </c>
      <c r="C791" s="2" t="s">
        <v>28</v>
      </c>
      <c r="D791" s="2" t="s">
        <v>8</v>
      </c>
      <c r="E791" s="2" t="s">
        <v>13</v>
      </c>
      <c r="F791" s="2" t="s">
        <v>14</v>
      </c>
      <c r="G791" s="2">
        <v>49</v>
      </c>
      <c r="H791" s="9">
        <v>98</v>
      </c>
    </row>
    <row r="792" spans="2:8" x14ac:dyDescent="0.25">
      <c r="B792" s="3">
        <v>44679</v>
      </c>
      <c r="C792" s="2" t="s">
        <v>25</v>
      </c>
      <c r="D792" s="2" t="s">
        <v>12</v>
      </c>
      <c r="E792" s="2" t="s">
        <v>13</v>
      </c>
      <c r="F792" s="2" t="s">
        <v>14</v>
      </c>
      <c r="G792" s="2">
        <v>51</v>
      </c>
      <c r="H792" s="9">
        <v>87</v>
      </c>
    </row>
    <row r="793" spans="2:8" x14ac:dyDescent="0.25">
      <c r="B793" s="3">
        <v>44679</v>
      </c>
      <c r="C793" s="2" t="s">
        <v>21</v>
      </c>
      <c r="D793" s="2" t="s">
        <v>8</v>
      </c>
      <c r="E793" s="2" t="s">
        <v>9</v>
      </c>
      <c r="F793" s="2" t="s">
        <v>14</v>
      </c>
      <c r="G793" s="2">
        <v>36</v>
      </c>
      <c r="H793" s="9">
        <v>123</v>
      </c>
    </row>
    <row r="794" spans="2:8" x14ac:dyDescent="0.25">
      <c r="B794" s="3">
        <v>44679</v>
      </c>
      <c r="C794" s="2" t="s">
        <v>21</v>
      </c>
      <c r="D794" s="2" t="s">
        <v>8</v>
      </c>
      <c r="E794" s="2" t="s">
        <v>9</v>
      </c>
      <c r="F794" s="2" t="s">
        <v>14</v>
      </c>
      <c r="G794" s="2">
        <v>18</v>
      </c>
      <c r="H794" s="9">
        <v>103</v>
      </c>
    </row>
    <row r="795" spans="2:8" x14ac:dyDescent="0.25">
      <c r="B795" s="3">
        <v>44679</v>
      </c>
      <c r="C795" s="2" t="s">
        <v>27</v>
      </c>
      <c r="D795" s="2" t="s">
        <v>18</v>
      </c>
      <c r="E795" s="2" t="s">
        <v>13</v>
      </c>
      <c r="F795" s="2" t="s">
        <v>14</v>
      </c>
      <c r="G795" s="2">
        <v>27</v>
      </c>
      <c r="H795" s="9">
        <v>78</v>
      </c>
    </row>
    <row r="796" spans="2:8" x14ac:dyDescent="0.25">
      <c r="B796" s="3">
        <v>44680</v>
      </c>
      <c r="C796" s="2" t="s">
        <v>28</v>
      </c>
      <c r="D796" s="2" t="s">
        <v>8</v>
      </c>
      <c r="E796" s="2" t="s">
        <v>9</v>
      </c>
      <c r="F796" s="2" t="s">
        <v>10</v>
      </c>
      <c r="G796" s="2">
        <v>82</v>
      </c>
      <c r="H796" s="9">
        <v>49</v>
      </c>
    </row>
    <row r="797" spans="2:8" x14ac:dyDescent="0.25">
      <c r="B797" s="3">
        <v>44680</v>
      </c>
      <c r="C797" s="2" t="s">
        <v>28</v>
      </c>
      <c r="D797" s="2" t="s">
        <v>8</v>
      </c>
      <c r="E797" s="2" t="s">
        <v>9</v>
      </c>
      <c r="F797" s="2" t="s">
        <v>10</v>
      </c>
      <c r="G797" s="2">
        <v>53</v>
      </c>
      <c r="H797" s="9">
        <v>130</v>
      </c>
    </row>
    <row r="798" spans="2:8" x14ac:dyDescent="0.25">
      <c r="B798" s="3">
        <v>44680</v>
      </c>
      <c r="C798" s="2" t="s">
        <v>25</v>
      </c>
      <c r="D798" s="2" t="s">
        <v>12</v>
      </c>
      <c r="E798" s="2" t="s">
        <v>9</v>
      </c>
      <c r="F798" s="2" t="s">
        <v>14</v>
      </c>
      <c r="G798" s="2">
        <v>77</v>
      </c>
      <c r="H798" s="9">
        <v>143</v>
      </c>
    </row>
    <row r="799" spans="2:8" x14ac:dyDescent="0.25">
      <c r="B799" s="3">
        <v>44680</v>
      </c>
      <c r="C799" s="2" t="s">
        <v>19</v>
      </c>
      <c r="D799" s="2" t="s">
        <v>12</v>
      </c>
      <c r="E799" s="2" t="s">
        <v>9</v>
      </c>
      <c r="F799" s="2" t="s">
        <v>16</v>
      </c>
      <c r="G799" s="2">
        <v>41</v>
      </c>
      <c r="H799" s="9">
        <v>144</v>
      </c>
    </row>
    <row r="800" spans="2:8" x14ac:dyDescent="0.25">
      <c r="B800" s="3">
        <v>44680</v>
      </c>
      <c r="C800" s="2" t="s">
        <v>22</v>
      </c>
      <c r="D800" s="2" t="s">
        <v>12</v>
      </c>
      <c r="E800" s="2" t="s">
        <v>9</v>
      </c>
      <c r="F800" s="2" t="s">
        <v>10</v>
      </c>
      <c r="G800" s="2">
        <v>46</v>
      </c>
      <c r="H800" s="9">
        <v>73</v>
      </c>
    </row>
    <row r="801" spans="2:8" x14ac:dyDescent="0.25">
      <c r="B801" s="3">
        <v>44680</v>
      </c>
      <c r="C801" s="2" t="s">
        <v>21</v>
      </c>
      <c r="D801" s="2" t="s">
        <v>8</v>
      </c>
      <c r="E801" s="2" t="s">
        <v>13</v>
      </c>
      <c r="F801" s="2" t="s">
        <v>10</v>
      </c>
      <c r="G801" s="2">
        <v>75</v>
      </c>
      <c r="H801" s="9">
        <v>99</v>
      </c>
    </row>
    <row r="802" spans="2:8" x14ac:dyDescent="0.25">
      <c r="B802" s="3">
        <v>44680</v>
      </c>
      <c r="C802" s="2" t="s">
        <v>20</v>
      </c>
      <c r="D802" s="2" t="s">
        <v>8</v>
      </c>
      <c r="E802" s="2" t="s">
        <v>13</v>
      </c>
      <c r="F802" s="2" t="s">
        <v>10</v>
      </c>
      <c r="G802" s="2">
        <v>94</v>
      </c>
      <c r="H802" s="9">
        <v>56</v>
      </c>
    </row>
    <row r="803" spans="2:8" x14ac:dyDescent="0.25">
      <c r="B803" s="3">
        <v>44680</v>
      </c>
      <c r="C803" s="2" t="s">
        <v>22</v>
      </c>
      <c r="D803" s="2" t="s">
        <v>12</v>
      </c>
      <c r="E803" s="2" t="s">
        <v>13</v>
      </c>
      <c r="F803" s="2" t="s">
        <v>16</v>
      </c>
      <c r="G803" s="2">
        <v>98</v>
      </c>
      <c r="H803" s="9">
        <v>84</v>
      </c>
    </row>
    <row r="804" spans="2:8" x14ac:dyDescent="0.25">
      <c r="B804" s="3">
        <v>44681</v>
      </c>
      <c r="C804" s="2" t="s">
        <v>17</v>
      </c>
      <c r="D804" s="2" t="s">
        <v>18</v>
      </c>
      <c r="E804" s="2" t="s">
        <v>13</v>
      </c>
      <c r="F804" s="2" t="s">
        <v>10</v>
      </c>
      <c r="G804" s="2">
        <v>58</v>
      </c>
      <c r="H804" s="9">
        <v>69</v>
      </c>
    </row>
    <row r="805" spans="2:8" x14ac:dyDescent="0.25">
      <c r="B805" s="3">
        <v>44681</v>
      </c>
      <c r="C805" s="2" t="s">
        <v>22</v>
      </c>
      <c r="D805" s="2" t="s">
        <v>12</v>
      </c>
      <c r="E805" s="2" t="s">
        <v>13</v>
      </c>
      <c r="F805" s="2" t="s">
        <v>16</v>
      </c>
      <c r="G805" s="2">
        <v>39</v>
      </c>
      <c r="H805" s="9">
        <v>46</v>
      </c>
    </row>
    <row r="806" spans="2:8" x14ac:dyDescent="0.25">
      <c r="B806" s="3">
        <v>44681</v>
      </c>
      <c r="C806" s="2" t="s">
        <v>22</v>
      </c>
      <c r="D806" s="2" t="s">
        <v>12</v>
      </c>
      <c r="E806" s="2" t="s">
        <v>13</v>
      </c>
      <c r="F806" s="2" t="s">
        <v>14</v>
      </c>
      <c r="G806" s="2">
        <v>99</v>
      </c>
      <c r="H806" s="9">
        <v>41</v>
      </c>
    </row>
    <row r="807" spans="2:8" x14ac:dyDescent="0.25">
      <c r="B807" s="3">
        <v>44681</v>
      </c>
      <c r="C807" s="2" t="s">
        <v>7</v>
      </c>
      <c r="D807" s="2" t="s">
        <v>8</v>
      </c>
      <c r="E807" s="2" t="s">
        <v>9</v>
      </c>
      <c r="F807" s="2" t="s">
        <v>14</v>
      </c>
      <c r="G807" s="2">
        <v>94</v>
      </c>
      <c r="H807" s="9">
        <v>145</v>
      </c>
    </row>
    <row r="808" spans="2:8" x14ac:dyDescent="0.25">
      <c r="B808" s="3">
        <v>44681</v>
      </c>
      <c r="C808" s="2" t="s">
        <v>7</v>
      </c>
      <c r="D808" s="2" t="s">
        <v>8</v>
      </c>
      <c r="E808" s="2" t="s">
        <v>13</v>
      </c>
      <c r="F808" s="2" t="s">
        <v>16</v>
      </c>
      <c r="G808" s="2">
        <v>24</v>
      </c>
      <c r="H808" s="9">
        <v>70</v>
      </c>
    </row>
    <row r="809" spans="2:8" x14ac:dyDescent="0.25">
      <c r="B809" s="3">
        <v>44681</v>
      </c>
      <c r="C809" s="2" t="s">
        <v>20</v>
      </c>
      <c r="D809" s="2" t="s">
        <v>8</v>
      </c>
      <c r="E809" s="2" t="s">
        <v>13</v>
      </c>
      <c r="F809" s="2" t="s">
        <v>14</v>
      </c>
      <c r="G809" s="2">
        <v>50</v>
      </c>
      <c r="H809" s="9">
        <v>85</v>
      </c>
    </row>
    <row r="810" spans="2:8" x14ac:dyDescent="0.25">
      <c r="B810" s="4">
        <v>44681</v>
      </c>
      <c r="C810" s="1" t="s">
        <v>28</v>
      </c>
      <c r="D810" s="1" t="s">
        <v>8</v>
      </c>
      <c r="E810" s="1" t="s">
        <v>13</v>
      </c>
      <c r="F810" s="1" t="s">
        <v>16</v>
      </c>
      <c r="G810" s="1">
        <v>87</v>
      </c>
      <c r="H810" s="10">
        <v>61</v>
      </c>
    </row>
    <row r="811" spans="2:8" x14ac:dyDescent="0.25">
      <c r="B811" s="3">
        <v>44682</v>
      </c>
      <c r="C811" s="2" t="s">
        <v>29</v>
      </c>
      <c r="D811" s="2" t="s">
        <v>18</v>
      </c>
      <c r="E811" s="2" t="s">
        <v>13</v>
      </c>
      <c r="F811" s="2" t="s">
        <v>16</v>
      </c>
      <c r="G811" s="2">
        <v>45</v>
      </c>
      <c r="H811" s="9">
        <v>123</v>
      </c>
    </row>
    <row r="812" spans="2:8" x14ac:dyDescent="0.25">
      <c r="B812" s="3">
        <v>44682</v>
      </c>
      <c r="C812" s="2" t="s">
        <v>20</v>
      </c>
      <c r="D812" s="2" t="s">
        <v>8</v>
      </c>
      <c r="E812" s="2" t="s">
        <v>13</v>
      </c>
      <c r="F812" s="2" t="s">
        <v>14</v>
      </c>
      <c r="G812" s="2">
        <v>56</v>
      </c>
      <c r="H812" s="9">
        <v>97</v>
      </c>
    </row>
    <row r="813" spans="2:8" x14ac:dyDescent="0.25">
      <c r="B813" s="3">
        <v>44682</v>
      </c>
      <c r="C813" s="2" t="s">
        <v>23</v>
      </c>
      <c r="D813" s="2" t="s">
        <v>18</v>
      </c>
      <c r="E813" s="2" t="s">
        <v>13</v>
      </c>
      <c r="F813" s="2" t="s">
        <v>14</v>
      </c>
      <c r="G813" s="2">
        <v>54</v>
      </c>
      <c r="H813" s="9">
        <v>62</v>
      </c>
    </row>
    <row r="814" spans="2:8" x14ac:dyDescent="0.25">
      <c r="B814" s="3">
        <v>44682</v>
      </c>
      <c r="C814" s="2" t="s">
        <v>23</v>
      </c>
      <c r="D814" s="2" t="s">
        <v>18</v>
      </c>
      <c r="E814" s="2" t="s">
        <v>9</v>
      </c>
      <c r="F814" s="2" t="s">
        <v>16</v>
      </c>
      <c r="G814" s="2">
        <v>78</v>
      </c>
      <c r="H814" s="9">
        <v>33</v>
      </c>
    </row>
    <row r="815" spans="2:8" x14ac:dyDescent="0.25">
      <c r="B815" s="3">
        <v>44682</v>
      </c>
      <c r="C815" s="2" t="s">
        <v>27</v>
      </c>
      <c r="D815" s="2" t="s">
        <v>18</v>
      </c>
      <c r="E815" s="2" t="s">
        <v>9</v>
      </c>
      <c r="F815" s="2" t="s">
        <v>14</v>
      </c>
      <c r="G815" s="2">
        <v>85</v>
      </c>
      <c r="H815" s="9">
        <v>54</v>
      </c>
    </row>
    <row r="816" spans="2:8" x14ac:dyDescent="0.25">
      <c r="B816" s="3">
        <v>44682</v>
      </c>
      <c r="C816" s="2" t="s">
        <v>24</v>
      </c>
      <c r="D816" s="2" t="s">
        <v>18</v>
      </c>
      <c r="E816" s="2" t="s">
        <v>9</v>
      </c>
      <c r="F816" s="2" t="s">
        <v>14</v>
      </c>
      <c r="G816" s="2">
        <v>99</v>
      </c>
      <c r="H816" s="9">
        <v>142</v>
      </c>
    </row>
    <row r="817" spans="2:8" x14ac:dyDescent="0.25">
      <c r="B817" s="3">
        <v>44682</v>
      </c>
      <c r="C817" s="2" t="s">
        <v>17</v>
      </c>
      <c r="D817" s="2" t="s">
        <v>18</v>
      </c>
      <c r="E817" s="2" t="s">
        <v>13</v>
      </c>
      <c r="F817" s="2" t="s">
        <v>16</v>
      </c>
      <c r="G817" s="2">
        <v>28</v>
      </c>
      <c r="H817" s="9">
        <v>86</v>
      </c>
    </row>
    <row r="818" spans="2:8" x14ac:dyDescent="0.25">
      <c r="B818" s="3">
        <v>44682</v>
      </c>
      <c r="C818" s="2" t="s">
        <v>15</v>
      </c>
      <c r="D818" s="2" t="s">
        <v>8</v>
      </c>
      <c r="E818" s="2" t="s">
        <v>9</v>
      </c>
      <c r="F818" s="2" t="s">
        <v>10</v>
      </c>
      <c r="G818" s="2">
        <v>60</v>
      </c>
      <c r="H818" s="9">
        <v>63</v>
      </c>
    </row>
    <row r="819" spans="2:8" x14ac:dyDescent="0.25">
      <c r="B819" s="3">
        <v>44682</v>
      </c>
      <c r="C819" s="2" t="s">
        <v>21</v>
      </c>
      <c r="D819" s="2" t="s">
        <v>8</v>
      </c>
      <c r="E819" s="2" t="s">
        <v>9</v>
      </c>
      <c r="F819" s="2" t="s">
        <v>10</v>
      </c>
      <c r="G819" s="2">
        <v>48</v>
      </c>
      <c r="H819" s="9">
        <v>54</v>
      </c>
    </row>
    <row r="820" spans="2:8" x14ac:dyDescent="0.25">
      <c r="B820" s="3">
        <v>44682</v>
      </c>
      <c r="C820" s="2" t="s">
        <v>26</v>
      </c>
      <c r="D820" s="2" t="s">
        <v>12</v>
      </c>
      <c r="E820" s="2" t="s">
        <v>13</v>
      </c>
      <c r="F820" s="2" t="s">
        <v>10</v>
      </c>
      <c r="G820" s="2">
        <v>80</v>
      </c>
      <c r="H820" s="9">
        <v>88</v>
      </c>
    </row>
    <row r="821" spans="2:8" x14ac:dyDescent="0.25">
      <c r="B821" s="3">
        <v>44682</v>
      </c>
      <c r="C821" s="2" t="s">
        <v>28</v>
      </c>
      <c r="D821" s="2" t="s">
        <v>8</v>
      </c>
      <c r="E821" s="2" t="s">
        <v>9</v>
      </c>
      <c r="F821" s="2" t="s">
        <v>14</v>
      </c>
      <c r="G821" s="2">
        <v>73</v>
      </c>
      <c r="H821" s="9">
        <v>57</v>
      </c>
    </row>
    <row r="822" spans="2:8" x14ac:dyDescent="0.25">
      <c r="B822" s="3">
        <v>44683</v>
      </c>
      <c r="C822" s="2" t="s">
        <v>23</v>
      </c>
      <c r="D822" s="2" t="s">
        <v>18</v>
      </c>
      <c r="E822" s="2" t="s">
        <v>13</v>
      </c>
      <c r="F822" s="2" t="s">
        <v>10</v>
      </c>
      <c r="G822" s="2">
        <v>64</v>
      </c>
      <c r="H822" s="9">
        <v>38</v>
      </c>
    </row>
    <row r="823" spans="2:8" x14ac:dyDescent="0.25">
      <c r="B823" s="3">
        <v>44683</v>
      </c>
      <c r="C823" s="2" t="s">
        <v>19</v>
      </c>
      <c r="D823" s="2" t="s">
        <v>12</v>
      </c>
      <c r="E823" s="2" t="s">
        <v>13</v>
      </c>
      <c r="F823" s="2" t="s">
        <v>14</v>
      </c>
      <c r="G823" s="2">
        <v>36</v>
      </c>
      <c r="H823" s="9">
        <v>116</v>
      </c>
    </row>
    <row r="824" spans="2:8" x14ac:dyDescent="0.25">
      <c r="B824" s="3">
        <v>44683</v>
      </c>
      <c r="C824" s="2" t="s">
        <v>17</v>
      </c>
      <c r="D824" s="2" t="s">
        <v>18</v>
      </c>
      <c r="E824" s="2" t="s">
        <v>9</v>
      </c>
      <c r="F824" s="2" t="s">
        <v>16</v>
      </c>
      <c r="G824" s="2">
        <v>14</v>
      </c>
      <c r="H824" s="9">
        <v>146</v>
      </c>
    </row>
    <row r="825" spans="2:8" x14ac:dyDescent="0.25">
      <c r="B825" s="3">
        <v>44683</v>
      </c>
      <c r="C825" s="2" t="s">
        <v>24</v>
      </c>
      <c r="D825" s="2" t="s">
        <v>18</v>
      </c>
      <c r="E825" s="2" t="s">
        <v>13</v>
      </c>
      <c r="F825" s="2" t="s">
        <v>10</v>
      </c>
      <c r="G825" s="2">
        <v>32</v>
      </c>
      <c r="H825" s="9">
        <v>23</v>
      </c>
    </row>
    <row r="826" spans="2:8" x14ac:dyDescent="0.25">
      <c r="B826" s="3">
        <v>44683</v>
      </c>
      <c r="C826" s="2" t="s">
        <v>28</v>
      </c>
      <c r="D826" s="2" t="s">
        <v>8</v>
      </c>
      <c r="E826" s="2" t="s">
        <v>9</v>
      </c>
      <c r="F826" s="2" t="s">
        <v>16</v>
      </c>
      <c r="G826" s="2">
        <v>72</v>
      </c>
      <c r="H826" s="9">
        <v>144</v>
      </c>
    </row>
    <row r="827" spans="2:8" x14ac:dyDescent="0.25">
      <c r="B827" s="3">
        <v>44683</v>
      </c>
      <c r="C827" s="2" t="s">
        <v>17</v>
      </c>
      <c r="D827" s="2" t="s">
        <v>18</v>
      </c>
      <c r="E827" s="2" t="s">
        <v>13</v>
      </c>
      <c r="F827" s="2" t="s">
        <v>10</v>
      </c>
      <c r="G827" s="2">
        <v>79</v>
      </c>
      <c r="H827" s="9">
        <v>124</v>
      </c>
    </row>
    <row r="828" spans="2:8" x14ac:dyDescent="0.25">
      <c r="B828" s="3">
        <v>44683</v>
      </c>
      <c r="C828" s="2" t="s">
        <v>22</v>
      </c>
      <c r="D828" s="2" t="s">
        <v>12</v>
      </c>
      <c r="E828" s="2" t="s">
        <v>13</v>
      </c>
      <c r="F828" s="2" t="s">
        <v>16</v>
      </c>
      <c r="G828" s="2">
        <v>14</v>
      </c>
      <c r="H828" s="9">
        <v>61</v>
      </c>
    </row>
    <row r="829" spans="2:8" x14ac:dyDescent="0.25">
      <c r="B829" s="3">
        <v>44684</v>
      </c>
      <c r="C829" s="2" t="s">
        <v>17</v>
      </c>
      <c r="D829" s="2" t="s">
        <v>18</v>
      </c>
      <c r="E829" s="2" t="s">
        <v>9</v>
      </c>
      <c r="F829" s="2" t="s">
        <v>10</v>
      </c>
      <c r="G829" s="2">
        <v>10</v>
      </c>
      <c r="H829" s="9">
        <v>133</v>
      </c>
    </row>
    <row r="830" spans="2:8" x14ac:dyDescent="0.25">
      <c r="B830" s="3">
        <v>44684</v>
      </c>
      <c r="C830" s="2" t="s">
        <v>29</v>
      </c>
      <c r="D830" s="2" t="s">
        <v>18</v>
      </c>
      <c r="E830" s="2" t="s">
        <v>13</v>
      </c>
      <c r="F830" s="2" t="s">
        <v>16</v>
      </c>
      <c r="G830" s="2">
        <v>80</v>
      </c>
      <c r="H830" s="9">
        <v>21</v>
      </c>
    </row>
    <row r="831" spans="2:8" x14ac:dyDescent="0.25">
      <c r="B831" s="3">
        <v>44684</v>
      </c>
      <c r="C831" s="2" t="s">
        <v>19</v>
      </c>
      <c r="D831" s="2" t="s">
        <v>12</v>
      </c>
      <c r="E831" s="2" t="s">
        <v>9</v>
      </c>
      <c r="F831" s="2" t="s">
        <v>10</v>
      </c>
      <c r="G831" s="2">
        <v>20</v>
      </c>
      <c r="H831" s="9">
        <v>69</v>
      </c>
    </row>
    <row r="832" spans="2:8" x14ac:dyDescent="0.25">
      <c r="B832" s="3">
        <v>44684</v>
      </c>
      <c r="C832" s="2" t="s">
        <v>19</v>
      </c>
      <c r="D832" s="2" t="s">
        <v>12</v>
      </c>
      <c r="E832" s="2" t="s">
        <v>9</v>
      </c>
      <c r="F832" s="2" t="s">
        <v>16</v>
      </c>
      <c r="G832" s="2">
        <v>100</v>
      </c>
      <c r="H832" s="9">
        <v>77</v>
      </c>
    </row>
    <row r="833" spans="2:8" x14ac:dyDescent="0.25">
      <c r="B833" s="3">
        <v>44684</v>
      </c>
      <c r="C833" s="2" t="s">
        <v>21</v>
      </c>
      <c r="D833" s="2" t="s">
        <v>8</v>
      </c>
      <c r="E833" s="2" t="s">
        <v>13</v>
      </c>
      <c r="F833" s="2" t="s">
        <v>16</v>
      </c>
      <c r="G833" s="2">
        <v>15</v>
      </c>
      <c r="H833" s="9">
        <v>128</v>
      </c>
    </row>
    <row r="834" spans="2:8" x14ac:dyDescent="0.25">
      <c r="B834" s="3">
        <v>44684</v>
      </c>
      <c r="C834" s="2" t="s">
        <v>11</v>
      </c>
      <c r="D834" s="2" t="s">
        <v>12</v>
      </c>
      <c r="E834" s="2" t="s">
        <v>9</v>
      </c>
      <c r="F834" s="2" t="s">
        <v>16</v>
      </c>
      <c r="G834" s="2">
        <v>81</v>
      </c>
      <c r="H834" s="9">
        <v>46</v>
      </c>
    </row>
    <row r="835" spans="2:8" x14ac:dyDescent="0.25">
      <c r="B835" s="3">
        <v>44684</v>
      </c>
      <c r="C835" s="2" t="s">
        <v>19</v>
      </c>
      <c r="D835" s="2" t="s">
        <v>12</v>
      </c>
      <c r="E835" s="2" t="s">
        <v>9</v>
      </c>
      <c r="F835" s="2" t="s">
        <v>10</v>
      </c>
      <c r="G835" s="2">
        <v>68</v>
      </c>
      <c r="H835" s="9">
        <v>54</v>
      </c>
    </row>
    <row r="836" spans="2:8" x14ac:dyDescent="0.25">
      <c r="B836" s="3">
        <v>44684</v>
      </c>
      <c r="C836" s="2" t="s">
        <v>26</v>
      </c>
      <c r="D836" s="2" t="s">
        <v>12</v>
      </c>
      <c r="E836" s="2" t="s">
        <v>13</v>
      </c>
      <c r="F836" s="2" t="s">
        <v>16</v>
      </c>
      <c r="G836" s="2">
        <v>35</v>
      </c>
      <c r="H836" s="9">
        <v>73</v>
      </c>
    </row>
    <row r="837" spans="2:8" x14ac:dyDescent="0.25">
      <c r="B837" s="3">
        <v>44684</v>
      </c>
      <c r="C837" s="2" t="s">
        <v>22</v>
      </c>
      <c r="D837" s="2" t="s">
        <v>12</v>
      </c>
      <c r="E837" s="2" t="s">
        <v>9</v>
      </c>
      <c r="F837" s="2" t="s">
        <v>14</v>
      </c>
      <c r="G837" s="2">
        <v>78</v>
      </c>
      <c r="H837" s="9">
        <v>132</v>
      </c>
    </row>
    <row r="838" spans="2:8" x14ac:dyDescent="0.25">
      <c r="B838" s="3">
        <v>44685</v>
      </c>
      <c r="C838" s="2" t="s">
        <v>19</v>
      </c>
      <c r="D838" s="2" t="s">
        <v>12</v>
      </c>
      <c r="E838" s="2" t="s">
        <v>13</v>
      </c>
      <c r="F838" s="2" t="s">
        <v>10</v>
      </c>
      <c r="G838" s="2">
        <v>92</v>
      </c>
      <c r="H838" s="9">
        <v>36</v>
      </c>
    </row>
    <row r="839" spans="2:8" x14ac:dyDescent="0.25">
      <c r="B839" s="3">
        <v>44685</v>
      </c>
      <c r="C839" s="2" t="s">
        <v>15</v>
      </c>
      <c r="D839" s="2" t="s">
        <v>8</v>
      </c>
      <c r="E839" s="2" t="s">
        <v>13</v>
      </c>
      <c r="F839" s="2" t="s">
        <v>14</v>
      </c>
      <c r="G839" s="2">
        <v>89</v>
      </c>
      <c r="H839" s="9">
        <v>42</v>
      </c>
    </row>
    <row r="840" spans="2:8" x14ac:dyDescent="0.25">
      <c r="B840" s="3">
        <v>44685</v>
      </c>
      <c r="C840" s="2" t="s">
        <v>29</v>
      </c>
      <c r="D840" s="2" t="s">
        <v>18</v>
      </c>
      <c r="E840" s="2" t="s">
        <v>9</v>
      </c>
      <c r="F840" s="2" t="s">
        <v>10</v>
      </c>
      <c r="G840" s="2">
        <v>95</v>
      </c>
      <c r="H840" s="9">
        <v>135</v>
      </c>
    </row>
    <row r="841" spans="2:8" x14ac:dyDescent="0.25">
      <c r="B841" s="3">
        <v>44685</v>
      </c>
      <c r="C841" s="2" t="s">
        <v>20</v>
      </c>
      <c r="D841" s="2" t="s">
        <v>8</v>
      </c>
      <c r="E841" s="2" t="s">
        <v>13</v>
      </c>
      <c r="F841" s="2" t="s">
        <v>14</v>
      </c>
      <c r="G841" s="2">
        <v>35</v>
      </c>
      <c r="H841" s="9">
        <v>111</v>
      </c>
    </row>
    <row r="842" spans="2:8" x14ac:dyDescent="0.25">
      <c r="B842" s="3">
        <v>44685</v>
      </c>
      <c r="C842" s="2" t="s">
        <v>23</v>
      </c>
      <c r="D842" s="2" t="s">
        <v>18</v>
      </c>
      <c r="E842" s="2" t="s">
        <v>9</v>
      </c>
      <c r="F842" s="2" t="s">
        <v>14</v>
      </c>
      <c r="G842" s="2">
        <v>51</v>
      </c>
      <c r="H842" s="9">
        <v>31</v>
      </c>
    </row>
    <row r="843" spans="2:8" x14ac:dyDescent="0.25">
      <c r="B843" s="3">
        <v>44685</v>
      </c>
      <c r="C843" s="2" t="s">
        <v>23</v>
      </c>
      <c r="D843" s="2" t="s">
        <v>18</v>
      </c>
      <c r="E843" s="2" t="s">
        <v>13</v>
      </c>
      <c r="F843" s="2" t="s">
        <v>16</v>
      </c>
      <c r="G843" s="2">
        <v>31</v>
      </c>
      <c r="H843" s="9">
        <v>104</v>
      </c>
    </row>
    <row r="844" spans="2:8" x14ac:dyDescent="0.25">
      <c r="B844" s="3">
        <v>44685</v>
      </c>
      <c r="C844" s="2" t="s">
        <v>27</v>
      </c>
      <c r="D844" s="2" t="s">
        <v>18</v>
      </c>
      <c r="E844" s="2" t="s">
        <v>13</v>
      </c>
      <c r="F844" s="2" t="s">
        <v>10</v>
      </c>
      <c r="G844" s="2">
        <v>13</v>
      </c>
      <c r="H844" s="9">
        <v>63</v>
      </c>
    </row>
    <row r="845" spans="2:8" x14ac:dyDescent="0.25">
      <c r="B845" s="3">
        <v>44685</v>
      </c>
      <c r="C845" s="2" t="s">
        <v>20</v>
      </c>
      <c r="D845" s="2" t="s">
        <v>8</v>
      </c>
      <c r="E845" s="2" t="s">
        <v>9</v>
      </c>
      <c r="F845" s="2" t="s">
        <v>16</v>
      </c>
      <c r="G845" s="2">
        <v>26</v>
      </c>
      <c r="H845" s="9">
        <v>65</v>
      </c>
    </row>
    <row r="846" spans="2:8" x14ac:dyDescent="0.25">
      <c r="B846" s="3">
        <v>44685</v>
      </c>
      <c r="C846" s="2" t="s">
        <v>22</v>
      </c>
      <c r="D846" s="2" t="s">
        <v>12</v>
      </c>
      <c r="E846" s="2" t="s">
        <v>13</v>
      </c>
      <c r="F846" s="2" t="s">
        <v>10</v>
      </c>
      <c r="G846" s="2">
        <v>45</v>
      </c>
      <c r="H846" s="9">
        <v>40</v>
      </c>
    </row>
    <row r="847" spans="2:8" x14ac:dyDescent="0.25">
      <c r="B847" s="3">
        <v>44686</v>
      </c>
      <c r="C847" s="2" t="s">
        <v>20</v>
      </c>
      <c r="D847" s="2" t="s">
        <v>8</v>
      </c>
      <c r="E847" s="2" t="s">
        <v>9</v>
      </c>
      <c r="F847" s="2" t="s">
        <v>14</v>
      </c>
      <c r="G847" s="2">
        <v>19</v>
      </c>
      <c r="H847" s="9">
        <v>76</v>
      </c>
    </row>
    <row r="848" spans="2:8" x14ac:dyDescent="0.25">
      <c r="B848" s="3">
        <v>44686</v>
      </c>
      <c r="C848" s="2" t="s">
        <v>25</v>
      </c>
      <c r="D848" s="2" t="s">
        <v>12</v>
      </c>
      <c r="E848" s="2" t="s">
        <v>13</v>
      </c>
      <c r="F848" s="2" t="s">
        <v>14</v>
      </c>
      <c r="G848" s="2">
        <v>37</v>
      </c>
      <c r="H848" s="9">
        <v>38</v>
      </c>
    </row>
    <row r="849" spans="2:8" x14ac:dyDescent="0.25">
      <c r="B849" s="3">
        <v>44686</v>
      </c>
      <c r="C849" s="2" t="s">
        <v>29</v>
      </c>
      <c r="D849" s="2" t="s">
        <v>18</v>
      </c>
      <c r="E849" s="2" t="s">
        <v>9</v>
      </c>
      <c r="F849" s="2" t="s">
        <v>10</v>
      </c>
      <c r="G849" s="2">
        <v>92</v>
      </c>
      <c r="H849" s="9">
        <v>124</v>
      </c>
    </row>
    <row r="850" spans="2:8" x14ac:dyDescent="0.25">
      <c r="B850" s="3">
        <v>44687</v>
      </c>
      <c r="C850" s="2" t="s">
        <v>17</v>
      </c>
      <c r="D850" s="2" t="s">
        <v>18</v>
      </c>
      <c r="E850" s="2" t="s">
        <v>9</v>
      </c>
      <c r="F850" s="2" t="s">
        <v>14</v>
      </c>
      <c r="G850" s="2">
        <v>90</v>
      </c>
      <c r="H850" s="9">
        <v>63</v>
      </c>
    </row>
    <row r="851" spans="2:8" x14ac:dyDescent="0.25">
      <c r="B851" s="3">
        <v>44687</v>
      </c>
      <c r="C851" s="2" t="s">
        <v>26</v>
      </c>
      <c r="D851" s="2" t="s">
        <v>12</v>
      </c>
      <c r="E851" s="2" t="s">
        <v>9</v>
      </c>
      <c r="F851" s="2" t="s">
        <v>14</v>
      </c>
      <c r="G851" s="2">
        <v>28</v>
      </c>
      <c r="H851" s="9">
        <v>32</v>
      </c>
    </row>
    <row r="852" spans="2:8" x14ac:dyDescent="0.25">
      <c r="B852" s="3">
        <v>44687</v>
      </c>
      <c r="C852" s="2" t="s">
        <v>28</v>
      </c>
      <c r="D852" s="2" t="s">
        <v>8</v>
      </c>
      <c r="E852" s="2" t="s">
        <v>13</v>
      </c>
      <c r="F852" s="2" t="s">
        <v>10</v>
      </c>
      <c r="G852" s="2">
        <v>50</v>
      </c>
      <c r="H852" s="9">
        <v>27</v>
      </c>
    </row>
    <row r="853" spans="2:8" x14ac:dyDescent="0.25">
      <c r="B853" s="3">
        <v>44687</v>
      </c>
      <c r="C853" s="2" t="s">
        <v>17</v>
      </c>
      <c r="D853" s="2" t="s">
        <v>18</v>
      </c>
      <c r="E853" s="2" t="s">
        <v>13</v>
      </c>
      <c r="F853" s="2" t="s">
        <v>14</v>
      </c>
      <c r="G853" s="2">
        <v>15</v>
      </c>
      <c r="H853" s="9">
        <v>30</v>
      </c>
    </row>
    <row r="854" spans="2:8" x14ac:dyDescent="0.25">
      <c r="B854" s="3">
        <v>44687</v>
      </c>
      <c r="C854" s="2" t="s">
        <v>17</v>
      </c>
      <c r="D854" s="2" t="s">
        <v>18</v>
      </c>
      <c r="E854" s="2" t="s">
        <v>13</v>
      </c>
      <c r="F854" s="2" t="s">
        <v>10</v>
      </c>
      <c r="G854" s="2">
        <v>66</v>
      </c>
      <c r="H854" s="9">
        <v>71</v>
      </c>
    </row>
    <row r="855" spans="2:8" x14ac:dyDescent="0.25">
      <c r="B855" s="3">
        <v>44687</v>
      </c>
      <c r="C855" s="2" t="s">
        <v>24</v>
      </c>
      <c r="D855" s="2" t="s">
        <v>18</v>
      </c>
      <c r="E855" s="2" t="s">
        <v>13</v>
      </c>
      <c r="F855" s="2" t="s">
        <v>16</v>
      </c>
      <c r="G855" s="2">
        <v>66</v>
      </c>
      <c r="H855" s="9">
        <v>66</v>
      </c>
    </row>
    <row r="856" spans="2:8" x14ac:dyDescent="0.25">
      <c r="B856" s="3">
        <v>44687</v>
      </c>
      <c r="C856" s="2" t="s">
        <v>20</v>
      </c>
      <c r="D856" s="2" t="s">
        <v>8</v>
      </c>
      <c r="E856" s="2" t="s">
        <v>13</v>
      </c>
      <c r="F856" s="2" t="s">
        <v>16</v>
      </c>
      <c r="G856" s="2">
        <v>83</v>
      </c>
      <c r="H856" s="9">
        <v>72</v>
      </c>
    </row>
    <row r="857" spans="2:8" x14ac:dyDescent="0.25">
      <c r="B857" s="3">
        <v>44687</v>
      </c>
      <c r="C857" s="2" t="s">
        <v>17</v>
      </c>
      <c r="D857" s="2" t="s">
        <v>18</v>
      </c>
      <c r="E857" s="2" t="s">
        <v>9</v>
      </c>
      <c r="F857" s="2" t="s">
        <v>10</v>
      </c>
      <c r="G857" s="2">
        <v>87</v>
      </c>
      <c r="H857" s="9">
        <v>143</v>
      </c>
    </row>
    <row r="858" spans="2:8" x14ac:dyDescent="0.25">
      <c r="B858" s="3">
        <v>44687</v>
      </c>
      <c r="C858" s="2" t="s">
        <v>28</v>
      </c>
      <c r="D858" s="2" t="s">
        <v>8</v>
      </c>
      <c r="E858" s="2" t="s">
        <v>9</v>
      </c>
      <c r="F858" s="2" t="s">
        <v>10</v>
      </c>
      <c r="G858" s="2">
        <v>54</v>
      </c>
      <c r="H858" s="9">
        <v>126</v>
      </c>
    </row>
    <row r="859" spans="2:8" x14ac:dyDescent="0.25">
      <c r="B859" s="3">
        <v>44688</v>
      </c>
      <c r="C859" s="2" t="s">
        <v>20</v>
      </c>
      <c r="D859" s="2" t="s">
        <v>8</v>
      </c>
      <c r="E859" s="2" t="s">
        <v>9</v>
      </c>
      <c r="F859" s="2" t="s">
        <v>16</v>
      </c>
      <c r="G859" s="2">
        <v>63</v>
      </c>
      <c r="H859" s="9">
        <v>46</v>
      </c>
    </row>
    <row r="860" spans="2:8" x14ac:dyDescent="0.25">
      <c r="B860" s="3">
        <v>44688</v>
      </c>
      <c r="C860" s="2" t="s">
        <v>15</v>
      </c>
      <c r="D860" s="2" t="s">
        <v>8</v>
      </c>
      <c r="E860" s="2" t="s">
        <v>9</v>
      </c>
      <c r="F860" s="2" t="s">
        <v>10</v>
      </c>
      <c r="G860" s="2">
        <v>80</v>
      </c>
      <c r="H860" s="9">
        <v>102</v>
      </c>
    </row>
    <row r="861" spans="2:8" x14ac:dyDescent="0.25">
      <c r="B861" s="3">
        <v>44688</v>
      </c>
      <c r="C861" s="2" t="s">
        <v>19</v>
      </c>
      <c r="D861" s="2" t="s">
        <v>12</v>
      </c>
      <c r="E861" s="2" t="s">
        <v>13</v>
      </c>
      <c r="F861" s="2" t="s">
        <v>16</v>
      </c>
      <c r="G861" s="2">
        <v>98</v>
      </c>
      <c r="H861" s="9">
        <v>95</v>
      </c>
    </row>
    <row r="862" spans="2:8" x14ac:dyDescent="0.25">
      <c r="B862" s="3">
        <v>44689</v>
      </c>
      <c r="C862" s="2" t="s">
        <v>29</v>
      </c>
      <c r="D862" s="2" t="s">
        <v>18</v>
      </c>
      <c r="E862" s="2" t="s">
        <v>9</v>
      </c>
      <c r="F862" s="2" t="s">
        <v>14</v>
      </c>
      <c r="G862" s="2">
        <v>55</v>
      </c>
      <c r="H862" s="9">
        <v>111</v>
      </c>
    </row>
    <row r="863" spans="2:8" x14ac:dyDescent="0.25">
      <c r="B863" s="3">
        <v>44689</v>
      </c>
      <c r="C863" s="2" t="s">
        <v>22</v>
      </c>
      <c r="D863" s="2" t="s">
        <v>12</v>
      </c>
      <c r="E863" s="2" t="s">
        <v>9</v>
      </c>
      <c r="F863" s="2" t="s">
        <v>16</v>
      </c>
      <c r="G863" s="2">
        <v>74</v>
      </c>
      <c r="H863" s="9">
        <v>79</v>
      </c>
    </row>
    <row r="864" spans="2:8" x14ac:dyDescent="0.25">
      <c r="B864" s="3">
        <v>44690</v>
      </c>
      <c r="C864" s="2" t="s">
        <v>22</v>
      </c>
      <c r="D864" s="2" t="s">
        <v>12</v>
      </c>
      <c r="E864" s="2" t="s">
        <v>9</v>
      </c>
      <c r="F864" s="2" t="s">
        <v>14</v>
      </c>
      <c r="G864" s="2">
        <v>80</v>
      </c>
      <c r="H864" s="9">
        <v>107</v>
      </c>
    </row>
    <row r="865" spans="2:8" x14ac:dyDescent="0.25">
      <c r="B865" s="3">
        <v>44690</v>
      </c>
      <c r="C865" s="2" t="s">
        <v>19</v>
      </c>
      <c r="D865" s="2" t="s">
        <v>12</v>
      </c>
      <c r="E865" s="2" t="s">
        <v>9</v>
      </c>
      <c r="F865" s="2" t="s">
        <v>14</v>
      </c>
      <c r="G865" s="2">
        <v>92</v>
      </c>
      <c r="H865" s="9">
        <v>108</v>
      </c>
    </row>
    <row r="866" spans="2:8" x14ac:dyDescent="0.25">
      <c r="B866" s="3">
        <v>44690</v>
      </c>
      <c r="C866" s="2" t="s">
        <v>20</v>
      </c>
      <c r="D866" s="2" t="s">
        <v>8</v>
      </c>
      <c r="E866" s="2" t="s">
        <v>13</v>
      </c>
      <c r="F866" s="2" t="s">
        <v>16</v>
      </c>
      <c r="G866" s="2">
        <v>50</v>
      </c>
      <c r="H866" s="9">
        <v>89</v>
      </c>
    </row>
    <row r="867" spans="2:8" x14ac:dyDescent="0.25">
      <c r="B867" s="3">
        <v>44690</v>
      </c>
      <c r="C867" s="2" t="s">
        <v>15</v>
      </c>
      <c r="D867" s="2" t="s">
        <v>8</v>
      </c>
      <c r="E867" s="2" t="s">
        <v>9</v>
      </c>
      <c r="F867" s="2" t="s">
        <v>16</v>
      </c>
      <c r="G867" s="2">
        <v>64</v>
      </c>
      <c r="H867" s="9">
        <v>40</v>
      </c>
    </row>
    <row r="868" spans="2:8" x14ac:dyDescent="0.25">
      <c r="B868" s="3">
        <v>44690</v>
      </c>
      <c r="C868" s="2" t="s">
        <v>15</v>
      </c>
      <c r="D868" s="2" t="s">
        <v>8</v>
      </c>
      <c r="E868" s="2" t="s">
        <v>13</v>
      </c>
      <c r="F868" s="2" t="s">
        <v>10</v>
      </c>
      <c r="G868" s="2">
        <v>84</v>
      </c>
      <c r="H868" s="9">
        <v>86</v>
      </c>
    </row>
    <row r="869" spans="2:8" x14ac:dyDescent="0.25">
      <c r="B869" s="3">
        <v>44690</v>
      </c>
      <c r="C869" s="2" t="s">
        <v>25</v>
      </c>
      <c r="D869" s="2" t="s">
        <v>12</v>
      </c>
      <c r="E869" s="2" t="s">
        <v>13</v>
      </c>
      <c r="F869" s="2" t="s">
        <v>16</v>
      </c>
      <c r="G869" s="2">
        <v>69</v>
      </c>
      <c r="H869" s="9">
        <v>24</v>
      </c>
    </row>
    <row r="870" spans="2:8" x14ac:dyDescent="0.25">
      <c r="B870" s="3">
        <v>44691</v>
      </c>
      <c r="C870" s="2" t="s">
        <v>21</v>
      </c>
      <c r="D870" s="2" t="s">
        <v>8</v>
      </c>
      <c r="E870" s="2" t="s">
        <v>9</v>
      </c>
      <c r="F870" s="2" t="s">
        <v>14</v>
      </c>
      <c r="G870" s="2">
        <v>41</v>
      </c>
      <c r="H870" s="9">
        <v>63</v>
      </c>
    </row>
    <row r="871" spans="2:8" x14ac:dyDescent="0.25">
      <c r="B871" s="3">
        <v>44691</v>
      </c>
      <c r="C871" s="2" t="s">
        <v>24</v>
      </c>
      <c r="D871" s="2" t="s">
        <v>18</v>
      </c>
      <c r="E871" s="2" t="s">
        <v>9</v>
      </c>
      <c r="F871" s="2" t="s">
        <v>14</v>
      </c>
      <c r="G871" s="2">
        <v>48</v>
      </c>
      <c r="H871" s="9">
        <v>71</v>
      </c>
    </row>
    <row r="872" spans="2:8" x14ac:dyDescent="0.25">
      <c r="B872" s="3">
        <v>44691</v>
      </c>
      <c r="C872" s="2" t="s">
        <v>20</v>
      </c>
      <c r="D872" s="2" t="s">
        <v>8</v>
      </c>
      <c r="E872" s="2" t="s">
        <v>9</v>
      </c>
      <c r="F872" s="2" t="s">
        <v>14</v>
      </c>
      <c r="G872" s="2">
        <v>78</v>
      </c>
      <c r="H872" s="9">
        <v>57</v>
      </c>
    </row>
    <row r="873" spans="2:8" x14ac:dyDescent="0.25">
      <c r="B873" s="3">
        <v>44691</v>
      </c>
      <c r="C873" s="2" t="s">
        <v>7</v>
      </c>
      <c r="D873" s="2" t="s">
        <v>8</v>
      </c>
      <c r="E873" s="2" t="s">
        <v>13</v>
      </c>
      <c r="F873" s="2" t="s">
        <v>16</v>
      </c>
      <c r="G873" s="2">
        <v>60</v>
      </c>
      <c r="H873" s="9">
        <v>31</v>
      </c>
    </row>
    <row r="874" spans="2:8" x14ac:dyDescent="0.25">
      <c r="B874" s="3">
        <v>44692</v>
      </c>
      <c r="C874" s="2" t="s">
        <v>27</v>
      </c>
      <c r="D874" s="2" t="s">
        <v>18</v>
      </c>
      <c r="E874" s="2" t="s">
        <v>9</v>
      </c>
      <c r="F874" s="2" t="s">
        <v>16</v>
      </c>
      <c r="G874" s="2">
        <v>67</v>
      </c>
      <c r="H874" s="9">
        <v>30</v>
      </c>
    </row>
    <row r="875" spans="2:8" x14ac:dyDescent="0.25">
      <c r="B875" s="3">
        <v>44692</v>
      </c>
      <c r="C875" s="2" t="s">
        <v>21</v>
      </c>
      <c r="D875" s="2" t="s">
        <v>8</v>
      </c>
      <c r="E875" s="2" t="s">
        <v>13</v>
      </c>
      <c r="F875" s="2" t="s">
        <v>14</v>
      </c>
      <c r="G875" s="2">
        <v>54</v>
      </c>
      <c r="H875" s="9">
        <v>69</v>
      </c>
    </row>
    <row r="876" spans="2:8" x14ac:dyDescent="0.25">
      <c r="B876" s="3">
        <v>44692</v>
      </c>
      <c r="C876" s="2" t="s">
        <v>20</v>
      </c>
      <c r="D876" s="2" t="s">
        <v>8</v>
      </c>
      <c r="E876" s="2" t="s">
        <v>9</v>
      </c>
      <c r="F876" s="2" t="s">
        <v>16</v>
      </c>
      <c r="G876" s="2">
        <v>62</v>
      </c>
      <c r="H876" s="9">
        <v>63</v>
      </c>
    </row>
    <row r="877" spans="2:8" x14ac:dyDescent="0.25">
      <c r="B877" s="3">
        <v>44692</v>
      </c>
      <c r="C877" s="2" t="s">
        <v>27</v>
      </c>
      <c r="D877" s="2" t="s">
        <v>18</v>
      </c>
      <c r="E877" s="2" t="s">
        <v>13</v>
      </c>
      <c r="F877" s="2" t="s">
        <v>10</v>
      </c>
      <c r="G877" s="2">
        <v>50</v>
      </c>
      <c r="H877" s="9">
        <v>125</v>
      </c>
    </row>
    <row r="878" spans="2:8" x14ac:dyDescent="0.25">
      <c r="B878" s="3">
        <v>44692</v>
      </c>
      <c r="C878" s="2" t="s">
        <v>28</v>
      </c>
      <c r="D878" s="2" t="s">
        <v>8</v>
      </c>
      <c r="E878" s="2" t="s">
        <v>9</v>
      </c>
      <c r="F878" s="2" t="s">
        <v>14</v>
      </c>
      <c r="G878" s="2">
        <v>25</v>
      </c>
      <c r="H878" s="9">
        <v>92</v>
      </c>
    </row>
    <row r="879" spans="2:8" x14ac:dyDescent="0.25">
      <c r="B879" s="3">
        <v>44692</v>
      </c>
      <c r="C879" s="2" t="s">
        <v>17</v>
      </c>
      <c r="D879" s="2" t="s">
        <v>18</v>
      </c>
      <c r="E879" s="2" t="s">
        <v>13</v>
      </c>
      <c r="F879" s="2" t="s">
        <v>10</v>
      </c>
      <c r="G879" s="2">
        <v>17</v>
      </c>
      <c r="H879" s="9">
        <v>110</v>
      </c>
    </row>
    <row r="880" spans="2:8" x14ac:dyDescent="0.25">
      <c r="B880" s="3">
        <v>44692</v>
      </c>
      <c r="C880" s="2" t="s">
        <v>22</v>
      </c>
      <c r="D880" s="2" t="s">
        <v>12</v>
      </c>
      <c r="E880" s="2" t="s">
        <v>13</v>
      </c>
      <c r="F880" s="2" t="s">
        <v>14</v>
      </c>
      <c r="G880" s="2">
        <v>91</v>
      </c>
      <c r="H880" s="9">
        <v>114</v>
      </c>
    </row>
    <row r="881" spans="2:8" x14ac:dyDescent="0.25">
      <c r="B881" s="3">
        <v>44692</v>
      </c>
      <c r="C881" s="2" t="s">
        <v>24</v>
      </c>
      <c r="D881" s="2" t="s">
        <v>18</v>
      </c>
      <c r="E881" s="2" t="s">
        <v>9</v>
      </c>
      <c r="F881" s="2" t="s">
        <v>10</v>
      </c>
      <c r="G881" s="2">
        <v>43</v>
      </c>
      <c r="H881" s="9">
        <v>130</v>
      </c>
    </row>
    <row r="882" spans="2:8" x14ac:dyDescent="0.25">
      <c r="B882" s="3">
        <v>44693</v>
      </c>
      <c r="C882" s="2" t="s">
        <v>28</v>
      </c>
      <c r="D882" s="2" t="s">
        <v>8</v>
      </c>
      <c r="E882" s="2" t="s">
        <v>13</v>
      </c>
      <c r="F882" s="2" t="s">
        <v>14</v>
      </c>
      <c r="G882" s="2">
        <v>96</v>
      </c>
      <c r="H882" s="9">
        <v>26</v>
      </c>
    </row>
    <row r="883" spans="2:8" x14ac:dyDescent="0.25">
      <c r="B883" s="3">
        <v>44693</v>
      </c>
      <c r="C883" s="2" t="s">
        <v>11</v>
      </c>
      <c r="D883" s="2" t="s">
        <v>12</v>
      </c>
      <c r="E883" s="2" t="s">
        <v>13</v>
      </c>
      <c r="F883" s="2" t="s">
        <v>10</v>
      </c>
      <c r="G883" s="2">
        <v>51</v>
      </c>
      <c r="H883" s="9">
        <v>112</v>
      </c>
    </row>
    <row r="884" spans="2:8" x14ac:dyDescent="0.25">
      <c r="B884" s="3">
        <v>44693</v>
      </c>
      <c r="C884" s="2" t="s">
        <v>11</v>
      </c>
      <c r="D884" s="2" t="s">
        <v>12</v>
      </c>
      <c r="E884" s="2" t="s">
        <v>9</v>
      </c>
      <c r="F884" s="2" t="s">
        <v>16</v>
      </c>
      <c r="G884" s="2">
        <v>20</v>
      </c>
      <c r="H884" s="9">
        <v>134</v>
      </c>
    </row>
    <row r="885" spans="2:8" x14ac:dyDescent="0.25">
      <c r="B885" s="3">
        <v>44693</v>
      </c>
      <c r="C885" s="2" t="s">
        <v>23</v>
      </c>
      <c r="D885" s="2" t="s">
        <v>18</v>
      </c>
      <c r="E885" s="2" t="s">
        <v>9</v>
      </c>
      <c r="F885" s="2" t="s">
        <v>14</v>
      </c>
      <c r="G885" s="2">
        <v>25</v>
      </c>
      <c r="H885" s="9">
        <v>145</v>
      </c>
    </row>
    <row r="886" spans="2:8" x14ac:dyDescent="0.25">
      <c r="B886" s="3">
        <v>44693</v>
      </c>
      <c r="C886" s="2" t="s">
        <v>26</v>
      </c>
      <c r="D886" s="2" t="s">
        <v>12</v>
      </c>
      <c r="E886" s="2" t="s">
        <v>13</v>
      </c>
      <c r="F886" s="2" t="s">
        <v>16</v>
      </c>
      <c r="G886" s="2">
        <v>45</v>
      </c>
      <c r="H886" s="9">
        <v>100</v>
      </c>
    </row>
    <row r="887" spans="2:8" x14ac:dyDescent="0.25">
      <c r="B887" s="3">
        <v>44693</v>
      </c>
      <c r="C887" s="2" t="s">
        <v>27</v>
      </c>
      <c r="D887" s="2" t="s">
        <v>18</v>
      </c>
      <c r="E887" s="2" t="s">
        <v>9</v>
      </c>
      <c r="F887" s="2" t="s">
        <v>10</v>
      </c>
      <c r="G887" s="2">
        <v>63</v>
      </c>
      <c r="H887" s="9">
        <v>50</v>
      </c>
    </row>
    <row r="888" spans="2:8" x14ac:dyDescent="0.25">
      <c r="B888" s="3">
        <v>44693</v>
      </c>
      <c r="C888" s="2" t="s">
        <v>20</v>
      </c>
      <c r="D888" s="2" t="s">
        <v>8</v>
      </c>
      <c r="E888" s="2" t="s">
        <v>9</v>
      </c>
      <c r="F888" s="2" t="s">
        <v>10</v>
      </c>
      <c r="G888" s="2">
        <v>36</v>
      </c>
      <c r="H888" s="9">
        <v>147</v>
      </c>
    </row>
    <row r="889" spans="2:8" x14ac:dyDescent="0.25">
      <c r="B889" s="3">
        <v>44694</v>
      </c>
      <c r="C889" s="2" t="s">
        <v>29</v>
      </c>
      <c r="D889" s="2" t="s">
        <v>18</v>
      </c>
      <c r="E889" s="2" t="s">
        <v>9</v>
      </c>
      <c r="F889" s="2" t="s">
        <v>14</v>
      </c>
      <c r="G889" s="2">
        <v>40</v>
      </c>
      <c r="H889" s="9">
        <v>68</v>
      </c>
    </row>
    <row r="890" spans="2:8" x14ac:dyDescent="0.25">
      <c r="B890" s="3">
        <v>44694</v>
      </c>
      <c r="C890" s="2" t="s">
        <v>22</v>
      </c>
      <c r="D890" s="2" t="s">
        <v>12</v>
      </c>
      <c r="E890" s="2" t="s">
        <v>13</v>
      </c>
      <c r="F890" s="2" t="s">
        <v>10</v>
      </c>
      <c r="G890" s="2">
        <v>71</v>
      </c>
      <c r="H890" s="9">
        <v>38</v>
      </c>
    </row>
    <row r="891" spans="2:8" x14ac:dyDescent="0.25">
      <c r="B891" s="3">
        <v>44695</v>
      </c>
      <c r="C891" s="2" t="s">
        <v>24</v>
      </c>
      <c r="D891" s="2" t="s">
        <v>18</v>
      </c>
      <c r="E891" s="2" t="s">
        <v>9</v>
      </c>
      <c r="F891" s="2" t="s">
        <v>16</v>
      </c>
      <c r="G891" s="2">
        <v>54</v>
      </c>
      <c r="H891" s="9">
        <v>29</v>
      </c>
    </row>
    <row r="892" spans="2:8" x14ac:dyDescent="0.25">
      <c r="B892" s="3">
        <v>44695</v>
      </c>
      <c r="C892" s="2" t="s">
        <v>25</v>
      </c>
      <c r="D892" s="2" t="s">
        <v>12</v>
      </c>
      <c r="E892" s="2" t="s">
        <v>13</v>
      </c>
      <c r="F892" s="2" t="s">
        <v>14</v>
      </c>
      <c r="G892" s="2">
        <v>66</v>
      </c>
      <c r="H892" s="9">
        <v>30</v>
      </c>
    </row>
    <row r="893" spans="2:8" x14ac:dyDescent="0.25">
      <c r="B893" s="3">
        <v>44695</v>
      </c>
      <c r="C893" s="2" t="s">
        <v>21</v>
      </c>
      <c r="D893" s="2" t="s">
        <v>8</v>
      </c>
      <c r="E893" s="2" t="s">
        <v>9</v>
      </c>
      <c r="F893" s="2" t="s">
        <v>10</v>
      </c>
      <c r="G893" s="2">
        <v>95</v>
      </c>
      <c r="H893" s="9">
        <v>68</v>
      </c>
    </row>
    <row r="894" spans="2:8" x14ac:dyDescent="0.25">
      <c r="B894" s="3">
        <v>44695</v>
      </c>
      <c r="C894" s="2" t="s">
        <v>15</v>
      </c>
      <c r="D894" s="2" t="s">
        <v>8</v>
      </c>
      <c r="E894" s="2" t="s">
        <v>13</v>
      </c>
      <c r="F894" s="2" t="s">
        <v>16</v>
      </c>
      <c r="G894" s="2">
        <v>64</v>
      </c>
      <c r="H894" s="9">
        <v>94</v>
      </c>
    </row>
    <row r="895" spans="2:8" x14ac:dyDescent="0.25">
      <c r="B895" s="3">
        <v>44696</v>
      </c>
      <c r="C895" s="2" t="s">
        <v>15</v>
      </c>
      <c r="D895" s="2" t="s">
        <v>8</v>
      </c>
      <c r="E895" s="2" t="s">
        <v>13</v>
      </c>
      <c r="F895" s="2" t="s">
        <v>10</v>
      </c>
      <c r="G895" s="2">
        <v>88</v>
      </c>
      <c r="H895" s="9">
        <v>141</v>
      </c>
    </row>
    <row r="896" spans="2:8" x14ac:dyDescent="0.25">
      <c r="B896" s="3">
        <v>44696</v>
      </c>
      <c r="C896" s="2" t="s">
        <v>11</v>
      </c>
      <c r="D896" s="2" t="s">
        <v>12</v>
      </c>
      <c r="E896" s="2" t="s">
        <v>13</v>
      </c>
      <c r="F896" s="2" t="s">
        <v>10</v>
      </c>
      <c r="G896" s="2">
        <v>54</v>
      </c>
      <c r="H896" s="9">
        <v>40</v>
      </c>
    </row>
    <row r="897" spans="2:8" x14ac:dyDescent="0.25">
      <c r="B897" s="3">
        <v>44696</v>
      </c>
      <c r="C897" s="2" t="s">
        <v>19</v>
      </c>
      <c r="D897" s="2" t="s">
        <v>12</v>
      </c>
      <c r="E897" s="2" t="s">
        <v>9</v>
      </c>
      <c r="F897" s="2" t="s">
        <v>14</v>
      </c>
      <c r="G897" s="2">
        <v>28</v>
      </c>
      <c r="H897" s="9">
        <v>129</v>
      </c>
    </row>
    <row r="898" spans="2:8" x14ac:dyDescent="0.25">
      <c r="B898" s="3">
        <v>44696</v>
      </c>
      <c r="C898" s="2" t="s">
        <v>17</v>
      </c>
      <c r="D898" s="2" t="s">
        <v>18</v>
      </c>
      <c r="E898" s="2" t="s">
        <v>9</v>
      </c>
      <c r="F898" s="2" t="s">
        <v>14</v>
      </c>
      <c r="G898" s="2">
        <v>92</v>
      </c>
      <c r="H898" s="9">
        <v>58</v>
      </c>
    </row>
    <row r="899" spans="2:8" x14ac:dyDescent="0.25">
      <c r="B899" s="3">
        <v>44696</v>
      </c>
      <c r="C899" s="2" t="s">
        <v>28</v>
      </c>
      <c r="D899" s="2" t="s">
        <v>8</v>
      </c>
      <c r="E899" s="2" t="s">
        <v>9</v>
      </c>
      <c r="F899" s="2" t="s">
        <v>16</v>
      </c>
      <c r="G899" s="2">
        <v>38</v>
      </c>
      <c r="H899" s="9">
        <v>28</v>
      </c>
    </row>
    <row r="900" spans="2:8" x14ac:dyDescent="0.25">
      <c r="B900" s="3">
        <v>44697</v>
      </c>
      <c r="C900" s="2" t="s">
        <v>17</v>
      </c>
      <c r="D900" s="2" t="s">
        <v>18</v>
      </c>
      <c r="E900" s="2" t="s">
        <v>13</v>
      </c>
      <c r="F900" s="2" t="s">
        <v>10</v>
      </c>
      <c r="G900" s="2">
        <v>37</v>
      </c>
      <c r="H900" s="9">
        <v>23</v>
      </c>
    </row>
    <row r="901" spans="2:8" x14ac:dyDescent="0.25">
      <c r="B901" s="3">
        <v>44697</v>
      </c>
      <c r="C901" s="2" t="s">
        <v>22</v>
      </c>
      <c r="D901" s="2" t="s">
        <v>12</v>
      </c>
      <c r="E901" s="2" t="s">
        <v>9</v>
      </c>
      <c r="F901" s="2" t="s">
        <v>16</v>
      </c>
      <c r="G901" s="2">
        <v>35</v>
      </c>
      <c r="H901" s="9">
        <v>121</v>
      </c>
    </row>
    <row r="902" spans="2:8" x14ac:dyDescent="0.25">
      <c r="B902" s="3">
        <v>44697</v>
      </c>
      <c r="C902" s="2" t="s">
        <v>22</v>
      </c>
      <c r="D902" s="2" t="s">
        <v>12</v>
      </c>
      <c r="E902" s="2" t="s">
        <v>13</v>
      </c>
      <c r="F902" s="2" t="s">
        <v>16</v>
      </c>
      <c r="G902" s="2">
        <v>93</v>
      </c>
      <c r="H902" s="9">
        <v>39</v>
      </c>
    </row>
    <row r="903" spans="2:8" x14ac:dyDescent="0.25">
      <c r="B903" s="3">
        <v>44698</v>
      </c>
      <c r="C903" s="2" t="s">
        <v>21</v>
      </c>
      <c r="D903" s="2" t="s">
        <v>8</v>
      </c>
      <c r="E903" s="2" t="s">
        <v>9</v>
      </c>
      <c r="F903" s="2" t="s">
        <v>16</v>
      </c>
      <c r="G903" s="2">
        <v>15</v>
      </c>
      <c r="H903" s="9">
        <v>57</v>
      </c>
    </row>
    <row r="904" spans="2:8" x14ac:dyDescent="0.25">
      <c r="B904" s="3">
        <v>44698</v>
      </c>
      <c r="C904" s="2" t="s">
        <v>27</v>
      </c>
      <c r="D904" s="2" t="s">
        <v>18</v>
      </c>
      <c r="E904" s="2" t="s">
        <v>9</v>
      </c>
      <c r="F904" s="2" t="s">
        <v>10</v>
      </c>
      <c r="G904" s="2">
        <v>49</v>
      </c>
      <c r="H904" s="9">
        <v>85</v>
      </c>
    </row>
    <row r="905" spans="2:8" x14ac:dyDescent="0.25">
      <c r="B905" s="3">
        <v>44698</v>
      </c>
      <c r="C905" s="2" t="s">
        <v>29</v>
      </c>
      <c r="D905" s="2" t="s">
        <v>18</v>
      </c>
      <c r="E905" s="2" t="s">
        <v>9</v>
      </c>
      <c r="F905" s="2" t="s">
        <v>14</v>
      </c>
      <c r="G905" s="2">
        <v>37</v>
      </c>
      <c r="H905" s="9">
        <v>89</v>
      </c>
    </row>
    <row r="906" spans="2:8" x14ac:dyDescent="0.25">
      <c r="B906" s="3">
        <v>44698</v>
      </c>
      <c r="C906" s="2" t="s">
        <v>22</v>
      </c>
      <c r="D906" s="2" t="s">
        <v>12</v>
      </c>
      <c r="E906" s="2" t="s">
        <v>9</v>
      </c>
      <c r="F906" s="2" t="s">
        <v>10</v>
      </c>
      <c r="G906" s="2">
        <v>51</v>
      </c>
      <c r="H906" s="9">
        <v>114</v>
      </c>
    </row>
    <row r="907" spans="2:8" x14ac:dyDescent="0.25">
      <c r="B907" s="3">
        <v>44698</v>
      </c>
      <c r="C907" s="2" t="s">
        <v>23</v>
      </c>
      <c r="D907" s="2" t="s">
        <v>18</v>
      </c>
      <c r="E907" s="2" t="s">
        <v>9</v>
      </c>
      <c r="F907" s="2" t="s">
        <v>16</v>
      </c>
      <c r="G907" s="2">
        <v>38</v>
      </c>
      <c r="H907" s="9">
        <v>135</v>
      </c>
    </row>
    <row r="908" spans="2:8" x14ac:dyDescent="0.25">
      <c r="B908" s="3">
        <v>44699</v>
      </c>
      <c r="C908" s="2" t="s">
        <v>22</v>
      </c>
      <c r="D908" s="2" t="s">
        <v>12</v>
      </c>
      <c r="E908" s="2" t="s">
        <v>13</v>
      </c>
      <c r="F908" s="2" t="s">
        <v>10</v>
      </c>
      <c r="G908" s="2">
        <v>27</v>
      </c>
      <c r="H908" s="9">
        <v>53</v>
      </c>
    </row>
    <row r="909" spans="2:8" x14ac:dyDescent="0.25">
      <c r="B909" s="3">
        <v>44699</v>
      </c>
      <c r="C909" s="2" t="s">
        <v>23</v>
      </c>
      <c r="D909" s="2" t="s">
        <v>18</v>
      </c>
      <c r="E909" s="2" t="s">
        <v>13</v>
      </c>
      <c r="F909" s="2" t="s">
        <v>14</v>
      </c>
      <c r="G909" s="2">
        <v>72</v>
      </c>
      <c r="H909" s="9">
        <v>94</v>
      </c>
    </row>
    <row r="910" spans="2:8" x14ac:dyDescent="0.25">
      <c r="B910" s="3">
        <v>44699</v>
      </c>
      <c r="C910" s="2" t="s">
        <v>17</v>
      </c>
      <c r="D910" s="2" t="s">
        <v>18</v>
      </c>
      <c r="E910" s="2" t="s">
        <v>9</v>
      </c>
      <c r="F910" s="2" t="s">
        <v>16</v>
      </c>
      <c r="G910" s="2">
        <v>69</v>
      </c>
      <c r="H910" s="9">
        <v>136</v>
      </c>
    </row>
    <row r="911" spans="2:8" x14ac:dyDescent="0.25">
      <c r="B911" s="3">
        <v>44700</v>
      </c>
      <c r="C911" s="2" t="s">
        <v>28</v>
      </c>
      <c r="D911" s="2" t="s">
        <v>8</v>
      </c>
      <c r="E911" s="2" t="s">
        <v>13</v>
      </c>
      <c r="F911" s="2" t="s">
        <v>14</v>
      </c>
      <c r="G911" s="2">
        <v>66</v>
      </c>
      <c r="H911" s="9">
        <v>57</v>
      </c>
    </row>
    <row r="912" spans="2:8" x14ac:dyDescent="0.25">
      <c r="B912" s="3">
        <v>44700</v>
      </c>
      <c r="C912" s="2" t="s">
        <v>11</v>
      </c>
      <c r="D912" s="2" t="s">
        <v>12</v>
      </c>
      <c r="E912" s="2" t="s">
        <v>9</v>
      </c>
      <c r="F912" s="2" t="s">
        <v>16</v>
      </c>
      <c r="G912" s="2">
        <v>43</v>
      </c>
      <c r="H912" s="9">
        <v>132</v>
      </c>
    </row>
    <row r="913" spans="2:8" x14ac:dyDescent="0.25">
      <c r="B913" s="3">
        <v>44700</v>
      </c>
      <c r="C913" s="2" t="s">
        <v>20</v>
      </c>
      <c r="D913" s="2" t="s">
        <v>8</v>
      </c>
      <c r="E913" s="2" t="s">
        <v>13</v>
      </c>
      <c r="F913" s="2" t="s">
        <v>14</v>
      </c>
      <c r="G913" s="2">
        <v>85</v>
      </c>
      <c r="H913" s="9">
        <v>27</v>
      </c>
    </row>
    <row r="914" spans="2:8" x14ac:dyDescent="0.25">
      <c r="B914" s="3">
        <v>44700</v>
      </c>
      <c r="C914" s="2" t="s">
        <v>17</v>
      </c>
      <c r="D914" s="2" t="s">
        <v>18</v>
      </c>
      <c r="E914" s="2" t="s">
        <v>9</v>
      </c>
      <c r="F914" s="2" t="s">
        <v>16</v>
      </c>
      <c r="G914" s="2">
        <v>39</v>
      </c>
      <c r="H914" s="9">
        <v>58</v>
      </c>
    </row>
    <row r="915" spans="2:8" x14ac:dyDescent="0.25">
      <c r="B915" s="3">
        <v>44700</v>
      </c>
      <c r="C915" s="2" t="s">
        <v>20</v>
      </c>
      <c r="D915" s="2" t="s">
        <v>8</v>
      </c>
      <c r="E915" s="2" t="s">
        <v>13</v>
      </c>
      <c r="F915" s="2" t="s">
        <v>10</v>
      </c>
      <c r="G915" s="2">
        <v>17</v>
      </c>
      <c r="H915" s="9">
        <v>47</v>
      </c>
    </row>
    <row r="916" spans="2:8" x14ac:dyDescent="0.25">
      <c r="B916" s="3">
        <v>44701</v>
      </c>
      <c r="C916" s="2" t="s">
        <v>19</v>
      </c>
      <c r="D916" s="2" t="s">
        <v>12</v>
      </c>
      <c r="E916" s="2" t="s">
        <v>9</v>
      </c>
      <c r="F916" s="2" t="s">
        <v>14</v>
      </c>
      <c r="G916" s="2">
        <v>85</v>
      </c>
      <c r="H916" s="9">
        <v>114</v>
      </c>
    </row>
    <row r="917" spans="2:8" x14ac:dyDescent="0.25">
      <c r="B917" s="3">
        <v>44701</v>
      </c>
      <c r="C917" s="2" t="s">
        <v>11</v>
      </c>
      <c r="D917" s="2" t="s">
        <v>12</v>
      </c>
      <c r="E917" s="2" t="s">
        <v>9</v>
      </c>
      <c r="F917" s="2" t="s">
        <v>14</v>
      </c>
      <c r="G917" s="2">
        <v>28</v>
      </c>
      <c r="H917" s="9">
        <v>108</v>
      </c>
    </row>
    <row r="918" spans="2:8" x14ac:dyDescent="0.25">
      <c r="B918" s="3">
        <v>44701</v>
      </c>
      <c r="C918" s="2" t="s">
        <v>29</v>
      </c>
      <c r="D918" s="2" t="s">
        <v>18</v>
      </c>
      <c r="E918" s="2" t="s">
        <v>13</v>
      </c>
      <c r="F918" s="2" t="s">
        <v>16</v>
      </c>
      <c r="G918" s="2">
        <v>14</v>
      </c>
      <c r="H918" s="9">
        <v>57</v>
      </c>
    </row>
    <row r="919" spans="2:8" x14ac:dyDescent="0.25">
      <c r="B919" s="3">
        <v>44701</v>
      </c>
      <c r="C919" s="2" t="s">
        <v>24</v>
      </c>
      <c r="D919" s="2" t="s">
        <v>18</v>
      </c>
      <c r="E919" s="2" t="s">
        <v>13</v>
      </c>
      <c r="F919" s="2" t="s">
        <v>16</v>
      </c>
      <c r="G919" s="2">
        <v>20</v>
      </c>
      <c r="H919" s="9">
        <v>133</v>
      </c>
    </row>
    <row r="920" spans="2:8" x14ac:dyDescent="0.25">
      <c r="B920" s="3">
        <v>44701</v>
      </c>
      <c r="C920" s="2" t="s">
        <v>27</v>
      </c>
      <c r="D920" s="2" t="s">
        <v>18</v>
      </c>
      <c r="E920" s="2" t="s">
        <v>13</v>
      </c>
      <c r="F920" s="2" t="s">
        <v>16</v>
      </c>
      <c r="G920" s="2">
        <v>51</v>
      </c>
      <c r="H920" s="9">
        <v>91</v>
      </c>
    </row>
    <row r="921" spans="2:8" x14ac:dyDescent="0.25">
      <c r="B921" s="3">
        <v>44702</v>
      </c>
      <c r="C921" s="2" t="s">
        <v>19</v>
      </c>
      <c r="D921" s="2" t="s">
        <v>12</v>
      </c>
      <c r="E921" s="2" t="s">
        <v>9</v>
      </c>
      <c r="F921" s="2" t="s">
        <v>16</v>
      </c>
      <c r="G921" s="2">
        <v>72</v>
      </c>
      <c r="H921" s="9">
        <v>150</v>
      </c>
    </row>
    <row r="922" spans="2:8" x14ac:dyDescent="0.25">
      <c r="B922" s="3">
        <v>44702</v>
      </c>
      <c r="C922" s="2" t="s">
        <v>28</v>
      </c>
      <c r="D922" s="2" t="s">
        <v>8</v>
      </c>
      <c r="E922" s="2" t="s">
        <v>13</v>
      </c>
      <c r="F922" s="2" t="s">
        <v>14</v>
      </c>
      <c r="G922" s="2">
        <v>79</v>
      </c>
      <c r="H922" s="9">
        <v>134</v>
      </c>
    </row>
    <row r="923" spans="2:8" x14ac:dyDescent="0.25">
      <c r="B923" s="3">
        <v>44702</v>
      </c>
      <c r="C923" s="2" t="s">
        <v>22</v>
      </c>
      <c r="D923" s="2" t="s">
        <v>12</v>
      </c>
      <c r="E923" s="2" t="s">
        <v>13</v>
      </c>
      <c r="F923" s="2" t="s">
        <v>16</v>
      </c>
      <c r="G923" s="2">
        <v>74</v>
      </c>
      <c r="H923" s="9">
        <v>103</v>
      </c>
    </row>
    <row r="924" spans="2:8" x14ac:dyDescent="0.25">
      <c r="B924" s="3">
        <v>44702</v>
      </c>
      <c r="C924" s="2" t="s">
        <v>17</v>
      </c>
      <c r="D924" s="2" t="s">
        <v>18</v>
      </c>
      <c r="E924" s="2" t="s">
        <v>9</v>
      </c>
      <c r="F924" s="2" t="s">
        <v>10</v>
      </c>
      <c r="G924" s="2">
        <v>12</v>
      </c>
      <c r="H924" s="9">
        <v>148</v>
      </c>
    </row>
    <row r="925" spans="2:8" x14ac:dyDescent="0.25">
      <c r="B925" s="3">
        <v>44702</v>
      </c>
      <c r="C925" s="2" t="s">
        <v>27</v>
      </c>
      <c r="D925" s="2" t="s">
        <v>18</v>
      </c>
      <c r="E925" s="2" t="s">
        <v>9</v>
      </c>
      <c r="F925" s="2" t="s">
        <v>16</v>
      </c>
      <c r="G925" s="2">
        <v>49</v>
      </c>
      <c r="H925" s="9">
        <v>26</v>
      </c>
    </row>
    <row r="926" spans="2:8" x14ac:dyDescent="0.25">
      <c r="B926" s="3">
        <v>44702</v>
      </c>
      <c r="C926" s="2" t="s">
        <v>15</v>
      </c>
      <c r="D926" s="2" t="s">
        <v>8</v>
      </c>
      <c r="E926" s="2" t="s">
        <v>13</v>
      </c>
      <c r="F926" s="2" t="s">
        <v>14</v>
      </c>
      <c r="G926" s="2">
        <v>67</v>
      </c>
      <c r="H926" s="9">
        <v>115</v>
      </c>
    </row>
    <row r="927" spans="2:8" x14ac:dyDescent="0.25">
      <c r="B927" s="3">
        <v>44702</v>
      </c>
      <c r="C927" s="2" t="s">
        <v>28</v>
      </c>
      <c r="D927" s="2" t="s">
        <v>8</v>
      </c>
      <c r="E927" s="2" t="s">
        <v>9</v>
      </c>
      <c r="F927" s="2" t="s">
        <v>10</v>
      </c>
      <c r="G927" s="2">
        <v>55</v>
      </c>
      <c r="H927" s="9">
        <v>100</v>
      </c>
    </row>
    <row r="928" spans="2:8" x14ac:dyDescent="0.25">
      <c r="B928" s="3">
        <v>44702</v>
      </c>
      <c r="C928" s="2" t="s">
        <v>27</v>
      </c>
      <c r="D928" s="2" t="s">
        <v>18</v>
      </c>
      <c r="E928" s="2" t="s">
        <v>13</v>
      </c>
      <c r="F928" s="2" t="s">
        <v>10</v>
      </c>
      <c r="G928" s="2">
        <v>22</v>
      </c>
      <c r="H928" s="9">
        <v>95</v>
      </c>
    </row>
    <row r="929" spans="2:8" x14ac:dyDescent="0.25">
      <c r="B929" s="3">
        <v>44702</v>
      </c>
      <c r="C929" s="2" t="s">
        <v>15</v>
      </c>
      <c r="D929" s="2" t="s">
        <v>8</v>
      </c>
      <c r="E929" s="2" t="s">
        <v>9</v>
      </c>
      <c r="F929" s="2" t="s">
        <v>16</v>
      </c>
      <c r="G929" s="2">
        <v>27</v>
      </c>
      <c r="H929" s="9">
        <v>33</v>
      </c>
    </row>
    <row r="930" spans="2:8" x14ac:dyDescent="0.25">
      <c r="B930" s="3">
        <v>44702</v>
      </c>
      <c r="C930" s="2" t="s">
        <v>15</v>
      </c>
      <c r="D930" s="2" t="s">
        <v>8</v>
      </c>
      <c r="E930" s="2" t="s">
        <v>13</v>
      </c>
      <c r="F930" s="2" t="s">
        <v>16</v>
      </c>
      <c r="G930" s="2">
        <v>65</v>
      </c>
      <c r="H930" s="9">
        <v>149</v>
      </c>
    </row>
    <row r="931" spans="2:8" x14ac:dyDescent="0.25">
      <c r="B931" s="3">
        <v>44703</v>
      </c>
      <c r="C931" s="2" t="s">
        <v>19</v>
      </c>
      <c r="D931" s="2" t="s">
        <v>12</v>
      </c>
      <c r="E931" s="2" t="s">
        <v>9</v>
      </c>
      <c r="F931" s="2" t="s">
        <v>14</v>
      </c>
      <c r="G931" s="2">
        <v>38</v>
      </c>
      <c r="H931" s="9">
        <v>57</v>
      </c>
    </row>
    <row r="932" spans="2:8" x14ac:dyDescent="0.25">
      <c r="B932" s="3">
        <v>44703</v>
      </c>
      <c r="C932" s="2" t="s">
        <v>24</v>
      </c>
      <c r="D932" s="2" t="s">
        <v>18</v>
      </c>
      <c r="E932" s="2" t="s">
        <v>13</v>
      </c>
      <c r="F932" s="2" t="s">
        <v>14</v>
      </c>
      <c r="G932" s="2">
        <v>85</v>
      </c>
      <c r="H932" s="9">
        <v>124</v>
      </c>
    </row>
    <row r="933" spans="2:8" x14ac:dyDescent="0.25">
      <c r="B933" s="3">
        <v>44703</v>
      </c>
      <c r="C933" s="2" t="s">
        <v>15</v>
      </c>
      <c r="D933" s="2" t="s">
        <v>8</v>
      </c>
      <c r="E933" s="2" t="s">
        <v>13</v>
      </c>
      <c r="F933" s="2" t="s">
        <v>16</v>
      </c>
      <c r="G933" s="2">
        <v>87</v>
      </c>
      <c r="H933" s="9">
        <v>50</v>
      </c>
    </row>
    <row r="934" spans="2:8" x14ac:dyDescent="0.25">
      <c r="B934" s="3">
        <v>44703</v>
      </c>
      <c r="C934" s="2" t="s">
        <v>20</v>
      </c>
      <c r="D934" s="2" t="s">
        <v>8</v>
      </c>
      <c r="E934" s="2" t="s">
        <v>13</v>
      </c>
      <c r="F934" s="2" t="s">
        <v>14</v>
      </c>
      <c r="G934" s="2">
        <v>77</v>
      </c>
      <c r="H934" s="9">
        <v>127</v>
      </c>
    </row>
    <row r="935" spans="2:8" x14ac:dyDescent="0.25">
      <c r="B935" s="3">
        <v>44703</v>
      </c>
      <c r="C935" s="2" t="s">
        <v>19</v>
      </c>
      <c r="D935" s="2" t="s">
        <v>12</v>
      </c>
      <c r="E935" s="2" t="s">
        <v>9</v>
      </c>
      <c r="F935" s="2" t="s">
        <v>16</v>
      </c>
      <c r="G935" s="2">
        <v>94</v>
      </c>
      <c r="H935" s="9">
        <v>148</v>
      </c>
    </row>
    <row r="936" spans="2:8" x14ac:dyDescent="0.25">
      <c r="B936" s="3">
        <v>44703</v>
      </c>
      <c r="C936" s="2" t="s">
        <v>22</v>
      </c>
      <c r="D936" s="2" t="s">
        <v>12</v>
      </c>
      <c r="E936" s="2" t="s">
        <v>9</v>
      </c>
      <c r="F936" s="2" t="s">
        <v>16</v>
      </c>
      <c r="G936" s="2">
        <v>53</v>
      </c>
      <c r="H936" s="9">
        <v>89</v>
      </c>
    </row>
    <row r="937" spans="2:8" x14ac:dyDescent="0.25">
      <c r="B937" s="3">
        <v>44703</v>
      </c>
      <c r="C937" s="2" t="s">
        <v>17</v>
      </c>
      <c r="D937" s="2" t="s">
        <v>18</v>
      </c>
      <c r="E937" s="2" t="s">
        <v>9</v>
      </c>
      <c r="F937" s="2" t="s">
        <v>14</v>
      </c>
      <c r="G937" s="2">
        <v>68</v>
      </c>
      <c r="H937" s="9">
        <v>116</v>
      </c>
    </row>
    <row r="938" spans="2:8" x14ac:dyDescent="0.25">
      <c r="B938" s="3">
        <v>44703</v>
      </c>
      <c r="C938" s="2" t="s">
        <v>19</v>
      </c>
      <c r="D938" s="2" t="s">
        <v>12</v>
      </c>
      <c r="E938" s="2" t="s">
        <v>13</v>
      </c>
      <c r="F938" s="2" t="s">
        <v>16</v>
      </c>
      <c r="G938" s="2">
        <v>69</v>
      </c>
      <c r="H938" s="9">
        <v>84</v>
      </c>
    </row>
    <row r="939" spans="2:8" x14ac:dyDescent="0.25">
      <c r="B939" s="3">
        <v>44703</v>
      </c>
      <c r="C939" s="2" t="s">
        <v>15</v>
      </c>
      <c r="D939" s="2" t="s">
        <v>8</v>
      </c>
      <c r="E939" s="2" t="s">
        <v>9</v>
      </c>
      <c r="F939" s="2" t="s">
        <v>16</v>
      </c>
      <c r="G939" s="2">
        <v>55</v>
      </c>
      <c r="H939" s="9">
        <v>149</v>
      </c>
    </row>
    <row r="940" spans="2:8" x14ac:dyDescent="0.25">
      <c r="B940" s="3">
        <v>44704</v>
      </c>
      <c r="C940" s="2" t="s">
        <v>20</v>
      </c>
      <c r="D940" s="2" t="s">
        <v>8</v>
      </c>
      <c r="E940" s="2" t="s">
        <v>9</v>
      </c>
      <c r="F940" s="2" t="s">
        <v>14</v>
      </c>
      <c r="G940" s="2">
        <v>22</v>
      </c>
      <c r="H940" s="9">
        <v>58</v>
      </c>
    </row>
    <row r="941" spans="2:8" x14ac:dyDescent="0.25">
      <c r="B941" s="3">
        <v>44704</v>
      </c>
      <c r="C941" s="2" t="s">
        <v>29</v>
      </c>
      <c r="D941" s="2" t="s">
        <v>18</v>
      </c>
      <c r="E941" s="2" t="s">
        <v>13</v>
      </c>
      <c r="F941" s="2" t="s">
        <v>16</v>
      </c>
      <c r="G941" s="2">
        <v>85</v>
      </c>
      <c r="H941" s="9">
        <v>59</v>
      </c>
    </row>
    <row r="942" spans="2:8" x14ac:dyDescent="0.25">
      <c r="B942" s="3">
        <v>44704</v>
      </c>
      <c r="C942" s="2" t="s">
        <v>7</v>
      </c>
      <c r="D942" s="2" t="s">
        <v>8</v>
      </c>
      <c r="E942" s="2" t="s">
        <v>13</v>
      </c>
      <c r="F942" s="2" t="s">
        <v>14</v>
      </c>
      <c r="G942" s="2">
        <v>46</v>
      </c>
      <c r="H942" s="9">
        <v>124</v>
      </c>
    </row>
    <row r="943" spans="2:8" x14ac:dyDescent="0.25">
      <c r="B943" s="3">
        <v>44704</v>
      </c>
      <c r="C943" s="2" t="s">
        <v>7</v>
      </c>
      <c r="D943" s="2" t="s">
        <v>8</v>
      </c>
      <c r="E943" s="2" t="s">
        <v>13</v>
      </c>
      <c r="F943" s="2" t="s">
        <v>14</v>
      </c>
      <c r="G943" s="2">
        <v>92</v>
      </c>
      <c r="H943" s="9">
        <v>25</v>
      </c>
    </row>
    <row r="944" spans="2:8" x14ac:dyDescent="0.25">
      <c r="B944" s="3">
        <v>44704</v>
      </c>
      <c r="C944" s="2" t="s">
        <v>23</v>
      </c>
      <c r="D944" s="2" t="s">
        <v>18</v>
      </c>
      <c r="E944" s="2" t="s">
        <v>13</v>
      </c>
      <c r="F944" s="2" t="s">
        <v>14</v>
      </c>
      <c r="G944" s="2">
        <v>25</v>
      </c>
      <c r="H944" s="9">
        <v>143</v>
      </c>
    </row>
    <row r="945" spans="2:8" x14ac:dyDescent="0.25">
      <c r="B945" s="3">
        <v>44704</v>
      </c>
      <c r="C945" s="2" t="s">
        <v>7</v>
      </c>
      <c r="D945" s="2" t="s">
        <v>8</v>
      </c>
      <c r="E945" s="2" t="s">
        <v>9</v>
      </c>
      <c r="F945" s="2" t="s">
        <v>14</v>
      </c>
      <c r="G945" s="2">
        <v>14</v>
      </c>
      <c r="H945" s="9">
        <v>33</v>
      </c>
    </row>
    <row r="946" spans="2:8" x14ac:dyDescent="0.25">
      <c r="B946" s="3">
        <v>44704</v>
      </c>
      <c r="C946" s="2" t="s">
        <v>20</v>
      </c>
      <c r="D946" s="2" t="s">
        <v>8</v>
      </c>
      <c r="E946" s="2" t="s">
        <v>9</v>
      </c>
      <c r="F946" s="2" t="s">
        <v>14</v>
      </c>
      <c r="G946" s="2">
        <v>78</v>
      </c>
      <c r="H946" s="9">
        <v>122</v>
      </c>
    </row>
    <row r="947" spans="2:8" x14ac:dyDescent="0.25">
      <c r="B947" s="3">
        <v>44705</v>
      </c>
      <c r="C947" s="2" t="s">
        <v>23</v>
      </c>
      <c r="D947" s="2" t="s">
        <v>18</v>
      </c>
      <c r="E947" s="2" t="s">
        <v>9</v>
      </c>
      <c r="F947" s="2" t="s">
        <v>10</v>
      </c>
      <c r="G947" s="2">
        <v>93</v>
      </c>
      <c r="H947" s="9">
        <v>91</v>
      </c>
    </row>
    <row r="948" spans="2:8" x14ac:dyDescent="0.25">
      <c r="B948" s="3">
        <v>44705</v>
      </c>
      <c r="C948" s="2" t="s">
        <v>7</v>
      </c>
      <c r="D948" s="2" t="s">
        <v>8</v>
      </c>
      <c r="E948" s="2" t="s">
        <v>9</v>
      </c>
      <c r="F948" s="2" t="s">
        <v>16</v>
      </c>
      <c r="G948" s="2">
        <v>38</v>
      </c>
      <c r="H948" s="9">
        <v>150</v>
      </c>
    </row>
    <row r="949" spans="2:8" x14ac:dyDescent="0.25">
      <c r="B949" s="3">
        <v>44705</v>
      </c>
      <c r="C949" s="2" t="s">
        <v>11</v>
      </c>
      <c r="D949" s="2" t="s">
        <v>12</v>
      </c>
      <c r="E949" s="2" t="s">
        <v>9</v>
      </c>
      <c r="F949" s="2" t="s">
        <v>10</v>
      </c>
      <c r="G949" s="2">
        <v>46</v>
      </c>
      <c r="H949" s="9">
        <v>35</v>
      </c>
    </row>
    <row r="950" spans="2:8" x14ac:dyDescent="0.25">
      <c r="B950" s="3">
        <v>44705</v>
      </c>
      <c r="C950" s="2" t="s">
        <v>29</v>
      </c>
      <c r="D950" s="2" t="s">
        <v>18</v>
      </c>
      <c r="E950" s="2" t="s">
        <v>13</v>
      </c>
      <c r="F950" s="2" t="s">
        <v>10</v>
      </c>
      <c r="G950" s="2">
        <v>59</v>
      </c>
      <c r="H950" s="9">
        <v>55</v>
      </c>
    </row>
    <row r="951" spans="2:8" x14ac:dyDescent="0.25">
      <c r="B951" s="3">
        <v>44705</v>
      </c>
      <c r="C951" s="2" t="s">
        <v>29</v>
      </c>
      <c r="D951" s="2" t="s">
        <v>18</v>
      </c>
      <c r="E951" s="2" t="s">
        <v>13</v>
      </c>
      <c r="F951" s="2" t="s">
        <v>16</v>
      </c>
      <c r="G951" s="2">
        <v>30</v>
      </c>
      <c r="H951" s="9">
        <v>85</v>
      </c>
    </row>
    <row r="952" spans="2:8" x14ac:dyDescent="0.25">
      <c r="B952" s="3">
        <v>44705</v>
      </c>
      <c r="C952" s="2" t="s">
        <v>24</v>
      </c>
      <c r="D952" s="2" t="s">
        <v>18</v>
      </c>
      <c r="E952" s="2" t="s">
        <v>13</v>
      </c>
      <c r="F952" s="2" t="s">
        <v>16</v>
      </c>
      <c r="G952" s="2">
        <v>82</v>
      </c>
      <c r="H952" s="9">
        <v>105</v>
      </c>
    </row>
    <row r="953" spans="2:8" x14ac:dyDescent="0.25">
      <c r="B953" s="3">
        <v>44705</v>
      </c>
      <c r="C953" s="2" t="s">
        <v>25</v>
      </c>
      <c r="D953" s="2" t="s">
        <v>12</v>
      </c>
      <c r="E953" s="2" t="s">
        <v>9</v>
      </c>
      <c r="F953" s="2" t="s">
        <v>16</v>
      </c>
      <c r="G953" s="2">
        <v>64</v>
      </c>
      <c r="H953" s="9">
        <v>95</v>
      </c>
    </row>
    <row r="954" spans="2:8" x14ac:dyDescent="0.25">
      <c r="B954" s="3">
        <v>44705</v>
      </c>
      <c r="C954" s="2" t="s">
        <v>28</v>
      </c>
      <c r="D954" s="2" t="s">
        <v>8</v>
      </c>
      <c r="E954" s="2" t="s">
        <v>13</v>
      </c>
      <c r="F954" s="2" t="s">
        <v>16</v>
      </c>
      <c r="G954" s="2">
        <v>46</v>
      </c>
      <c r="H954" s="9">
        <v>83</v>
      </c>
    </row>
    <row r="955" spans="2:8" x14ac:dyDescent="0.25">
      <c r="B955" s="3">
        <v>44706</v>
      </c>
      <c r="C955" s="2" t="s">
        <v>11</v>
      </c>
      <c r="D955" s="2" t="s">
        <v>12</v>
      </c>
      <c r="E955" s="2" t="s">
        <v>13</v>
      </c>
      <c r="F955" s="2" t="s">
        <v>10</v>
      </c>
      <c r="G955" s="2">
        <v>25</v>
      </c>
      <c r="H955" s="9">
        <v>140</v>
      </c>
    </row>
    <row r="956" spans="2:8" x14ac:dyDescent="0.25">
      <c r="B956" s="3">
        <v>44706</v>
      </c>
      <c r="C956" s="2" t="s">
        <v>20</v>
      </c>
      <c r="D956" s="2" t="s">
        <v>8</v>
      </c>
      <c r="E956" s="2" t="s">
        <v>9</v>
      </c>
      <c r="F956" s="2" t="s">
        <v>16</v>
      </c>
      <c r="G956" s="2">
        <v>77</v>
      </c>
      <c r="H956" s="9">
        <v>150</v>
      </c>
    </row>
    <row r="957" spans="2:8" x14ac:dyDescent="0.25">
      <c r="B957" s="3">
        <v>44706</v>
      </c>
      <c r="C957" s="2" t="s">
        <v>27</v>
      </c>
      <c r="D957" s="2" t="s">
        <v>18</v>
      </c>
      <c r="E957" s="2" t="s">
        <v>13</v>
      </c>
      <c r="F957" s="2" t="s">
        <v>14</v>
      </c>
      <c r="G957" s="2">
        <v>27</v>
      </c>
      <c r="H957" s="9">
        <v>125</v>
      </c>
    </row>
    <row r="958" spans="2:8" x14ac:dyDescent="0.25">
      <c r="B958" s="3">
        <v>44706</v>
      </c>
      <c r="C958" s="2" t="s">
        <v>24</v>
      </c>
      <c r="D958" s="2" t="s">
        <v>18</v>
      </c>
      <c r="E958" s="2" t="s">
        <v>9</v>
      </c>
      <c r="F958" s="2" t="s">
        <v>14</v>
      </c>
      <c r="G958" s="2">
        <v>19</v>
      </c>
      <c r="H958" s="9">
        <v>127</v>
      </c>
    </row>
    <row r="959" spans="2:8" x14ac:dyDescent="0.25">
      <c r="B959" s="3">
        <v>44706</v>
      </c>
      <c r="C959" s="2" t="s">
        <v>27</v>
      </c>
      <c r="D959" s="2" t="s">
        <v>18</v>
      </c>
      <c r="E959" s="2" t="s">
        <v>9</v>
      </c>
      <c r="F959" s="2" t="s">
        <v>10</v>
      </c>
      <c r="G959" s="2">
        <v>98</v>
      </c>
      <c r="H959" s="9">
        <v>82</v>
      </c>
    </row>
    <row r="960" spans="2:8" x14ac:dyDescent="0.25">
      <c r="B960" s="3">
        <v>44706</v>
      </c>
      <c r="C960" s="2" t="s">
        <v>23</v>
      </c>
      <c r="D960" s="2" t="s">
        <v>18</v>
      </c>
      <c r="E960" s="2" t="s">
        <v>9</v>
      </c>
      <c r="F960" s="2" t="s">
        <v>10</v>
      </c>
      <c r="G960" s="2">
        <v>94</v>
      </c>
      <c r="H960" s="9">
        <v>40</v>
      </c>
    </row>
    <row r="961" spans="2:8" x14ac:dyDescent="0.25">
      <c r="B961" s="3">
        <v>44706</v>
      </c>
      <c r="C961" s="2" t="s">
        <v>17</v>
      </c>
      <c r="D961" s="2" t="s">
        <v>18</v>
      </c>
      <c r="E961" s="2" t="s">
        <v>13</v>
      </c>
      <c r="F961" s="2" t="s">
        <v>10</v>
      </c>
      <c r="G961" s="2">
        <v>44</v>
      </c>
      <c r="H961" s="9">
        <v>100</v>
      </c>
    </row>
    <row r="962" spans="2:8" x14ac:dyDescent="0.25">
      <c r="B962" s="3">
        <v>44706</v>
      </c>
      <c r="C962" s="2" t="s">
        <v>15</v>
      </c>
      <c r="D962" s="2" t="s">
        <v>8</v>
      </c>
      <c r="E962" s="2" t="s">
        <v>9</v>
      </c>
      <c r="F962" s="2" t="s">
        <v>10</v>
      </c>
      <c r="G962" s="2">
        <v>40</v>
      </c>
      <c r="H962" s="9">
        <v>127</v>
      </c>
    </row>
    <row r="963" spans="2:8" x14ac:dyDescent="0.25">
      <c r="B963" s="3">
        <v>44707</v>
      </c>
      <c r="C963" s="2" t="s">
        <v>26</v>
      </c>
      <c r="D963" s="2" t="s">
        <v>12</v>
      </c>
      <c r="E963" s="2" t="s">
        <v>9</v>
      </c>
      <c r="F963" s="2" t="s">
        <v>10</v>
      </c>
      <c r="G963" s="2">
        <v>96</v>
      </c>
      <c r="H963" s="9">
        <v>73</v>
      </c>
    </row>
    <row r="964" spans="2:8" x14ac:dyDescent="0.25">
      <c r="B964" s="3">
        <v>44707</v>
      </c>
      <c r="C964" s="2" t="s">
        <v>20</v>
      </c>
      <c r="D964" s="2" t="s">
        <v>8</v>
      </c>
      <c r="E964" s="2" t="s">
        <v>13</v>
      </c>
      <c r="F964" s="2" t="s">
        <v>14</v>
      </c>
      <c r="G964" s="2">
        <v>51</v>
      </c>
      <c r="H964" s="9">
        <v>137</v>
      </c>
    </row>
    <row r="965" spans="2:8" x14ac:dyDescent="0.25">
      <c r="B965" s="3">
        <v>44707</v>
      </c>
      <c r="C965" s="2" t="s">
        <v>20</v>
      </c>
      <c r="D965" s="2" t="s">
        <v>8</v>
      </c>
      <c r="E965" s="2" t="s">
        <v>9</v>
      </c>
      <c r="F965" s="2" t="s">
        <v>10</v>
      </c>
      <c r="G965" s="2">
        <v>75</v>
      </c>
      <c r="H965" s="9">
        <v>100</v>
      </c>
    </row>
    <row r="966" spans="2:8" x14ac:dyDescent="0.25">
      <c r="B966" s="3">
        <v>44707</v>
      </c>
      <c r="C966" s="2" t="s">
        <v>24</v>
      </c>
      <c r="D966" s="2" t="s">
        <v>18</v>
      </c>
      <c r="E966" s="2" t="s">
        <v>9</v>
      </c>
      <c r="F966" s="2" t="s">
        <v>14</v>
      </c>
      <c r="G966" s="2">
        <v>66</v>
      </c>
      <c r="H966" s="9">
        <v>101</v>
      </c>
    </row>
    <row r="967" spans="2:8" x14ac:dyDescent="0.25">
      <c r="B967" s="3">
        <v>44708</v>
      </c>
      <c r="C967" s="2" t="s">
        <v>27</v>
      </c>
      <c r="D967" s="2" t="s">
        <v>18</v>
      </c>
      <c r="E967" s="2" t="s">
        <v>9</v>
      </c>
      <c r="F967" s="2" t="s">
        <v>10</v>
      </c>
      <c r="G967" s="2">
        <v>30</v>
      </c>
      <c r="H967" s="9">
        <v>122</v>
      </c>
    </row>
    <row r="968" spans="2:8" x14ac:dyDescent="0.25">
      <c r="B968" s="3">
        <v>44708</v>
      </c>
      <c r="C968" s="2" t="s">
        <v>11</v>
      </c>
      <c r="D968" s="2" t="s">
        <v>12</v>
      </c>
      <c r="E968" s="2" t="s">
        <v>13</v>
      </c>
      <c r="F968" s="2" t="s">
        <v>10</v>
      </c>
      <c r="G968" s="2">
        <v>60</v>
      </c>
      <c r="H968" s="9">
        <v>26</v>
      </c>
    </row>
    <row r="969" spans="2:8" x14ac:dyDescent="0.25">
      <c r="B969" s="3">
        <v>44708</v>
      </c>
      <c r="C969" s="2" t="s">
        <v>28</v>
      </c>
      <c r="D969" s="2" t="s">
        <v>8</v>
      </c>
      <c r="E969" s="2" t="s">
        <v>13</v>
      </c>
      <c r="F969" s="2" t="s">
        <v>16</v>
      </c>
      <c r="G969" s="2">
        <v>41</v>
      </c>
      <c r="H969" s="9">
        <v>142</v>
      </c>
    </row>
    <row r="970" spans="2:8" x14ac:dyDescent="0.25">
      <c r="B970" s="3">
        <v>44708</v>
      </c>
      <c r="C970" s="2" t="s">
        <v>28</v>
      </c>
      <c r="D970" s="2" t="s">
        <v>8</v>
      </c>
      <c r="E970" s="2" t="s">
        <v>13</v>
      </c>
      <c r="F970" s="2" t="s">
        <v>14</v>
      </c>
      <c r="G970" s="2">
        <v>59</v>
      </c>
      <c r="H970" s="9">
        <v>25</v>
      </c>
    </row>
    <row r="971" spans="2:8" x14ac:dyDescent="0.25">
      <c r="B971" s="3">
        <v>44708</v>
      </c>
      <c r="C971" s="2" t="s">
        <v>11</v>
      </c>
      <c r="D971" s="2" t="s">
        <v>12</v>
      </c>
      <c r="E971" s="2" t="s">
        <v>13</v>
      </c>
      <c r="F971" s="2" t="s">
        <v>10</v>
      </c>
      <c r="G971" s="2">
        <v>19</v>
      </c>
      <c r="H971" s="9">
        <v>79</v>
      </c>
    </row>
    <row r="972" spans="2:8" x14ac:dyDescent="0.25">
      <c r="B972" s="3">
        <v>44708</v>
      </c>
      <c r="C972" s="2" t="s">
        <v>25</v>
      </c>
      <c r="D972" s="2" t="s">
        <v>12</v>
      </c>
      <c r="E972" s="2" t="s">
        <v>13</v>
      </c>
      <c r="F972" s="2" t="s">
        <v>10</v>
      </c>
      <c r="G972" s="2">
        <v>63</v>
      </c>
      <c r="H972" s="9">
        <v>33</v>
      </c>
    </row>
    <row r="973" spans="2:8" x14ac:dyDescent="0.25">
      <c r="B973" s="3">
        <v>44708</v>
      </c>
      <c r="C973" s="2" t="s">
        <v>23</v>
      </c>
      <c r="D973" s="2" t="s">
        <v>18</v>
      </c>
      <c r="E973" s="2" t="s">
        <v>9</v>
      </c>
      <c r="F973" s="2" t="s">
        <v>14</v>
      </c>
      <c r="G973" s="2">
        <v>23</v>
      </c>
      <c r="H973" s="9">
        <v>63</v>
      </c>
    </row>
    <row r="974" spans="2:8" x14ac:dyDescent="0.25">
      <c r="B974" s="3">
        <v>44708</v>
      </c>
      <c r="C974" s="2" t="s">
        <v>11</v>
      </c>
      <c r="D974" s="2" t="s">
        <v>12</v>
      </c>
      <c r="E974" s="2" t="s">
        <v>9</v>
      </c>
      <c r="F974" s="2" t="s">
        <v>10</v>
      </c>
      <c r="G974" s="2">
        <v>75</v>
      </c>
      <c r="H974" s="9">
        <v>69</v>
      </c>
    </row>
    <row r="975" spans="2:8" x14ac:dyDescent="0.25">
      <c r="B975" s="3">
        <v>44708</v>
      </c>
      <c r="C975" s="2" t="s">
        <v>27</v>
      </c>
      <c r="D975" s="2" t="s">
        <v>18</v>
      </c>
      <c r="E975" s="2" t="s">
        <v>13</v>
      </c>
      <c r="F975" s="2" t="s">
        <v>16</v>
      </c>
      <c r="G975" s="2">
        <v>92</v>
      </c>
      <c r="H975" s="9">
        <v>95</v>
      </c>
    </row>
    <row r="976" spans="2:8" x14ac:dyDescent="0.25">
      <c r="B976" s="3">
        <v>44708</v>
      </c>
      <c r="C976" s="2" t="s">
        <v>17</v>
      </c>
      <c r="D976" s="2" t="s">
        <v>18</v>
      </c>
      <c r="E976" s="2" t="s">
        <v>9</v>
      </c>
      <c r="F976" s="2" t="s">
        <v>10</v>
      </c>
      <c r="G976" s="2">
        <v>42</v>
      </c>
      <c r="H976" s="9">
        <v>142</v>
      </c>
    </row>
    <row r="977" spans="2:8" x14ac:dyDescent="0.25">
      <c r="B977" s="3">
        <v>44708</v>
      </c>
      <c r="C977" s="2" t="s">
        <v>29</v>
      </c>
      <c r="D977" s="2" t="s">
        <v>18</v>
      </c>
      <c r="E977" s="2" t="s">
        <v>13</v>
      </c>
      <c r="F977" s="2" t="s">
        <v>16</v>
      </c>
      <c r="G977" s="2">
        <v>36</v>
      </c>
      <c r="H977" s="9">
        <v>59</v>
      </c>
    </row>
    <row r="978" spans="2:8" x14ac:dyDescent="0.25">
      <c r="B978" s="3">
        <v>44708</v>
      </c>
      <c r="C978" s="2" t="s">
        <v>27</v>
      </c>
      <c r="D978" s="2" t="s">
        <v>18</v>
      </c>
      <c r="E978" s="2" t="s">
        <v>9</v>
      </c>
      <c r="F978" s="2" t="s">
        <v>16</v>
      </c>
      <c r="G978" s="2">
        <v>61</v>
      </c>
      <c r="H978" s="9">
        <v>80</v>
      </c>
    </row>
    <row r="979" spans="2:8" x14ac:dyDescent="0.25">
      <c r="B979" s="3">
        <v>44709</v>
      </c>
      <c r="C979" s="2" t="s">
        <v>7</v>
      </c>
      <c r="D979" s="2" t="s">
        <v>8</v>
      </c>
      <c r="E979" s="2" t="s">
        <v>13</v>
      </c>
      <c r="F979" s="2" t="s">
        <v>16</v>
      </c>
      <c r="G979" s="2">
        <v>100</v>
      </c>
      <c r="H979" s="9">
        <v>75</v>
      </c>
    </row>
    <row r="980" spans="2:8" x14ac:dyDescent="0.25">
      <c r="B980" s="3">
        <v>44709</v>
      </c>
      <c r="C980" s="2" t="s">
        <v>20</v>
      </c>
      <c r="D980" s="2" t="s">
        <v>8</v>
      </c>
      <c r="E980" s="2" t="s">
        <v>13</v>
      </c>
      <c r="F980" s="2" t="s">
        <v>14</v>
      </c>
      <c r="G980" s="2">
        <v>34</v>
      </c>
      <c r="H980" s="9">
        <v>141</v>
      </c>
    </row>
    <row r="981" spans="2:8" x14ac:dyDescent="0.25">
      <c r="B981" s="3">
        <v>44709</v>
      </c>
      <c r="C981" s="2" t="s">
        <v>7</v>
      </c>
      <c r="D981" s="2" t="s">
        <v>8</v>
      </c>
      <c r="E981" s="2" t="s">
        <v>9</v>
      </c>
      <c r="F981" s="2" t="s">
        <v>14</v>
      </c>
      <c r="G981" s="2">
        <v>24</v>
      </c>
      <c r="H981" s="9">
        <v>25</v>
      </c>
    </row>
    <row r="982" spans="2:8" x14ac:dyDescent="0.25">
      <c r="B982" s="3">
        <v>44709</v>
      </c>
      <c r="C982" s="2" t="s">
        <v>24</v>
      </c>
      <c r="D982" s="2" t="s">
        <v>18</v>
      </c>
      <c r="E982" s="2" t="s">
        <v>13</v>
      </c>
      <c r="F982" s="2" t="s">
        <v>16</v>
      </c>
      <c r="G982" s="2">
        <v>28</v>
      </c>
      <c r="H982" s="9">
        <v>28</v>
      </c>
    </row>
    <row r="983" spans="2:8" x14ac:dyDescent="0.25">
      <c r="B983" s="3">
        <v>44709</v>
      </c>
      <c r="C983" s="2" t="s">
        <v>29</v>
      </c>
      <c r="D983" s="2" t="s">
        <v>18</v>
      </c>
      <c r="E983" s="2" t="s">
        <v>13</v>
      </c>
      <c r="F983" s="2" t="s">
        <v>16</v>
      </c>
      <c r="G983" s="2">
        <v>13</v>
      </c>
      <c r="H983" s="9">
        <v>49</v>
      </c>
    </row>
    <row r="984" spans="2:8" x14ac:dyDescent="0.25">
      <c r="B984" s="3">
        <v>44709</v>
      </c>
      <c r="C984" s="2" t="s">
        <v>25</v>
      </c>
      <c r="D984" s="2" t="s">
        <v>12</v>
      </c>
      <c r="E984" s="2" t="s">
        <v>13</v>
      </c>
      <c r="F984" s="2" t="s">
        <v>16</v>
      </c>
      <c r="G984" s="2">
        <v>58</v>
      </c>
      <c r="H984" s="9">
        <v>24</v>
      </c>
    </row>
    <row r="985" spans="2:8" x14ac:dyDescent="0.25">
      <c r="B985" s="3">
        <v>44710</v>
      </c>
      <c r="C985" s="2" t="s">
        <v>27</v>
      </c>
      <c r="D985" s="2" t="s">
        <v>18</v>
      </c>
      <c r="E985" s="2" t="s">
        <v>9</v>
      </c>
      <c r="F985" s="2" t="s">
        <v>10</v>
      </c>
      <c r="G985" s="2">
        <v>89</v>
      </c>
      <c r="H985" s="9">
        <v>45</v>
      </c>
    </row>
    <row r="986" spans="2:8" x14ac:dyDescent="0.25">
      <c r="B986" s="3">
        <v>44710</v>
      </c>
      <c r="C986" s="2" t="s">
        <v>22</v>
      </c>
      <c r="D986" s="2" t="s">
        <v>12</v>
      </c>
      <c r="E986" s="2" t="s">
        <v>9</v>
      </c>
      <c r="F986" s="2" t="s">
        <v>16</v>
      </c>
      <c r="G986" s="2">
        <v>45</v>
      </c>
      <c r="H986" s="9">
        <v>29</v>
      </c>
    </row>
    <row r="987" spans="2:8" x14ac:dyDescent="0.25">
      <c r="B987" s="3">
        <v>44710</v>
      </c>
      <c r="C987" s="2" t="s">
        <v>29</v>
      </c>
      <c r="D987" s="2" t="s">
        <v>18</v>
      </c>
      <c r="E987" s="2" t="s">
        <v>9</v>
      </c>
      <c r="F987" s="2" t="s">
        <v>14</v>
      </c>
      <c r="G987" s="2">
        <v>60</v>
      </c>
      <c r="H987" s="9">
        <v>52</v>
      </c>
    </row>
    <row r="988" spans="2:8" x14ac:dyDescent="0.25">
      <c r="B988" s="3">
        <v>44710</v>
      </c>
      <c r="C988" s="2" t="s">
        <v>29</v>
      </c>
      <c r="D988" s="2" t="s">
        <v>18</v>
      </c>
      <c r="E988" s="2" t="s">
        <v>9</v>
      </c>
      <c r="F988" s="2" t="s">
        <v>14</v>
      </c>
      <c r="G988" s="2">
        <v>94</v>
      </c>
      <c r="H988" s="9">
        <v>138</v>
      </c>
    </row>
    <row r="989" spans="2:8" x14ac:dyDescent="0.25">
      <c r="B989" s="3">
        <v>44710</v>
      </c>
      <c r="C989" s="2" t="s">
        <v>22</v>
      </c>
      <c r="D989" s="2" t="s">
        <v>12</v>
      </c>
      <c r="E989" s="2" t="s">
        <v>13</v>
      </c>
      <c r="F989" s="2" t="s">
        <v>16</v>
      </c>
      <c r="G989" s="2">
        <v>97</v>
      </c>
      <c r="H989" s="9">
        <v>146</v>
      </c>
    </row>
    <row r="990" spans="2:8" x14ac:dyDescent="0.25">
      <c r="B990" s="3">
        <v>44710</v>
      </c>
      <c r="C990" s="2" t="s">
        <v>11</v>
      </c>
      <c r="D990" s="2" t="s">
        <v>12</v>
      </c>
      <c r="E990" s="2" t="s">
        <v>13</v>
      </c>
      <c r="F990" s="2" t="s">
        <v>16</v>
      </c>
      <c r="G990" s="2">
        <v>96</v>
      </c>
      <c r="H990" s="9">
        <v>96</v>
      </c>
    </row>
    <row r="991" spans="2:8" x14ac:dyDescent="0.25">
      <c r="B991" s="3">
        <v>44710</v>
      </c>
      <c r="C991" s="2" t="s">
        <v>25</v>
      </c>
      <c r="D991" s="2" t="s">
        <v>12</v>
      </c>
      <c r="E991" s="2" t="s">
        <v>9</v>
      </c>
      <c r="F991" s="2" t="s">
        <v>10</v>
      </c>
      <c r="G991" s="2">
        <v>29</v>
      </c>
      <c r="H991" s="9">
        <v>49</v>
      </c>
    </row>
    <row r="992" spans="2:8" x14ac:dyDescent="0.25">
      <c r="B992" s="3">
        <v>44711</v>
      </c>
      <c r="C992" s="2" t="s">
        <v>21</v>
      </c>
      <c r="D992" s="2" t="s">
        <v>8</v>
      </c>
      <c r="E992" s="2" t="s">
        <v>13</v>
      </c>
      <c r="F992" s="2" t="s">
        <v>14</v>
      </c>
      <c r="G992" s="2">
        <v>22</v>
      </c>
      <c r="H992" s="9">
        <v>110</v>
      </c>
    </row>
    <row r="993" spans="2:8" x14ac:dyDescent="0.25">
      <c r="B993" s="3">
        <v>44711</v>
      </c>
      <c r="C993" s="2" t="s">
        <v>29</v>
      </c>
      <c r="D993" s="2" t="s">
        <v>18</v>
      </c>
      <c r="E993" s="2" t="s">
        <v>9</v>
      </c>
      <c r="F993" s="2" t="s">
        <v>16</v>
      </c>
      <c r="G993" s="2">
        <v>90</v>
      </c>
      <c r="H993" s="9">
        <v>80</v>
      </c>
    </row>
    <row r="994" spans="2:8" x14ac:dyDescent="0.25">
      <c r="B994" s="3">
        <v>44711</v>
      </c>
      <c r="C994" s="2" t="s">
        <v>19</v>
      </c>
      <c r="D994" s="2" t="s">
        <v>12</v>
      </c>
      <c r="E994" s="2" t="s">
        <v>9</v>
      </c>
      <c r="F994" s="2" t="s">
        <v>10</v>
      </c>
      <c r="G994" s="2">
        <v>95</v>
      </c>
      <c r="H994" s="9">
        <v>82</v>
      </c>
    </row>
    <row r="995" spans="2:8" x14ac:dyDescent="0.25">
      <c r="B995" s="3">
        <v>44711</v>
      </c>
      <c r="C995" s="2" t="s">
        <v>26</v>
      </c>
      <c r="D995" s="2" t="s">
        <v>12</v>
      </c>
      <c r="E995" s="2" t="s">
        <v>9</v>
      </c>
      <c r="F995" s="2" t="s">
        <v>14</v>
      </c>
      <c r="G995" s="2">
        <v>30</v>
      </c>
      <c r="H995" s="9">
        <v>88</v>
      </c>
    </row>
    <row r="996" spans="2:8" x14ac:dyDescent="0.25">
      <c r="B996" s="3">
        <v>44711</v>
      </c>
      <c r="C996" s="2" t="s">
        <v>24</v>
      </c>
      <c r="D996" s="2" t="s">
        <v>18</v>
      </c>
      <c r="E996" s="2" t="s">
        <v>9</v>
      </c>
      <c r="F996" s="2" t="s">
        <v>16</v>
      </c>
      <c r="G996" s="2">
        <v>71</v>
      </c>
      <c r="H996" s="9">
        <v>103</v>
      </c>
    </row>
    <row r="997" spans="2:8" x14ac:dyDescent="0.25">
      <c r="B997" s="3">
        <v>44712</v>
      </c>
      <c r="C997" s="2" t="s">
        <v>17</v>
      </c>
      <c r="D997" s="2" t="s">
        <v>18</v>
      </c>
      <c r="E997" s="2" t="s">
        <v>9</v>
      </c>
      <c r="F997" s="2" t="s">
        <v>10</v>
      </c>
      <c r="G997" s="2">
        <v>86</v>
      </c>
      <c r="H997" s="9">
        <v>25</v>
      </c>
    </row>
    <row r="998" spans="2:8" x14ac:dyDescent="0.25">
      <c r="B998" s="3">
        <v>44712</v>
      </c>
      <c r="C998" s="2" t="s">
        <v>20</v>
      </c>
      <c r="D998" s="2" t="s">
        <v>8</v>
      </c>
      <c r="E998" s="2" t="s">
        <v>13</v>
      </c>
      <c r="F998" s="2" t="s">
        <v>10</v>
      </c>
      <c r="G998" s="2">
        <v>100</v>
      </c>
      <c r="H998" s="9">
        <v>97</v>
      </c>
    </row>
    <row r="999" spans="2:8" x14ac:dyDescent="0.25">
      <c r="B999" s="3">
        <v>44712</v>
      </c>
      <c r="C999" s="2" t="s">
        <v>19</v>
      </c>
      <c r="D999" s="2" t="s">
        <v>12</v>
      </c>
      <c r="E999" s="2" t="s">
        <v>9</v>
      </c>
      <c r="F999" s="2" t="s">
        <v>16</v>
      </c>
      <c r="G999" s="2">
        <v>56</v>
      </c>
      <c r="H999" s="9">
        <v>44</v>
      </c>
    </row>
    <row r="1000" spans="2:8" x14ac:dyDescent="0.25">
      <c r="B1000" s="3">
        <v>44712</v>
      </c>
      <c r="C1000" s="2" t="s">
        <v>11</v>
      </c>
      <c r="D1000" s="2" t="s">
        <v>12</v>
      </c>
      <c r="E1000" s="2" t="s">
        <v>13</v>
      </c>
      <c r="F1000" s="2" t="s">
        <v>10</v>
      </c>
      <c r="G1000" s="2">
        <v>68</v>
      </c>
      <c r="H1000" s="9">
        <v>53</v>
      </c>
    </row>
    <row r="1001" spans="2:8" x14ac:dyDescent="0.25">
      <c r="B1001" s="3">
        <v>44712</v>
      </c>
      <c r="C1001" s="2" t="s">
        <v>19</v>
      </c>
      <c r="D1001" s="2" t="s">
        <v>12</v>
      </c>
      <c r="E1001" s="2" t="s">
        <v>9</v>
      </c>
      <c r="F1001" s="2" t="s">
        <v>16</v>
      </c>
      <c r="G1001" s="2">
        <v>79</v>
      </c>
      <c r="H1001" s="9">
        <v>67</v>
      </c>
    </row>
    <row r="1002" spans="2:8" x14ac:dyDescent="0.25">
      <c r="B1002" s="3">
        <v>44712</v>
      </c>
      <c r="C1002" s="2" t="s">
        <v>11</v>
      </c>
      <c r="D1002" s="2" t="s">
        <v>12</v>
      </c>
      <c r="E1002" s="2" t="s">
        <v>13</v>
      </c>
      <c r="F1002" s="2" t="s">
        <v>14</v>
      </c>
      <c r="G1002" s="2">
        <v>72</v>
      </c>
      <c r="H1002" s="9">
        <v>44</v>
      </c>
    </row>
    <row r="1003" spans="2:8" x14ac:dyDescent="0.25">
      <c r="B1003" s="4">
        <v>44712</v>
      </c>
      <c r="C1003" s="1" t="s">
        <v>21</v>
      </c>
      <c r="D1003" s="1" t="s">
        <v>8</v>
      </c>
      <c r="E1003" s="1" t="s">
        <v>13</v>
      </c>
      <c r="F1003" s="1" t="s">
        <v>14</v>
      </c>
      <c r="G1003" s="1">
        <v>64</v>
      </c>
      <c r="H1003" s="10">
        <v>61</v>
      </c>
    </row>
    <row r="1004" spans="2:8" x14ac:dyDescent="0.25">
      <c r="B1004" s="3">
        <v>44713</v>
      </c>
      <c r="C1004" s="2" t="s">
        <v>28</v>
      </c>
      <c r="D1004" s="2" t="s">
        <v>8</v>
      </c>
      <c r="E1004" s="2" t="s">
        <v>13</v>
      </c>
      <c r="F1004" s="2" t="s">
        <v>14</v>
      </c>
      <c r="G1004" s="2">
        <v>44</v>
      </c>
      <c r="H1004" s="9">
        <v>58</v>
      </c>
    </row>
    <row r="1005" spans="2:8" x14ac:dyDescent="0.25">
      <c r="B1005" s="3">
        <v>44713</v>
      </c>
      <c r="C1005" s="2" t="s">
        <v>27</v>
      </c>
      <c r="D1005" s="2" t="s">
        <v>18</v>
      </c>
      <c r="E1005" s="2" t="s">
        <v>13</v>
      </c>
      <c r="F1005" s="2" t="s">
        <v>14</v>
      </c>
      <c r="G1005" s="2">
        <v>48</v>
      </c>
      <c r="H1005" s="9">
        <v>98</v>
      </c>
    </row>
    <row r="1006" spans="2:8" x14ac:dyDescent="0.25">
      <c r="B1006" s="3">
        <v>44713</v>
      </c>
      <c r="C1006" s="2" t="s">
        <v>26</v>
      </c>
      <c r="D1006" s="2" t="s">
        <v>12</v>
      </c>
      <c r="E1006" s="2" t="s">
        <v>9</v>
      </c>
      <c r="F1006" s="2" t="s">
        <v>16</v>
      </c>
      <c r="G1006" s="2">
        <v>61</v>
      </c>
      <c r="H1006" s="9">
        <v>21</v>
      </c>
    </row>
    <row r="1007" spans="2:8" x14ac:dyDescent="0.25">
      <c r="B1007" s="3">
        <v>44713</v>
      </c>
      <c r="C1007" s="2" t="s">
        <v>24</v>
      </c>
      <c r="D1007" s="2" t="s">
        <v>18</v>
      </c>
      <c r="E1007" s="2" t="s">
        <v>13</v>
      </c>
      <c r="F1007" s="2" t="s">
        <v>14</v>
      </c>
      <c r="G1007" s="2">
        <v>89</v>
      </c>
      <c r="H1007" s="9">
        <v>149</v>
      </c>
    </row>
    <row r="1008" spans="2:8" x14ac:dyDescent="0.25">
      <c r="B1008" s="3">
        <v>44713</v>
      </c>
      <c r="C1008" s="2" t="s">
        <v>7</v>
      </c>
      <c r="D1008" s="2" t="s">
        <v>8</v>
      </c>
      <c r="E1008" s="2" t="s">
        <v>9</v>
      </c>
      <c r="F1008" s="2" t="s">
        <v>16</v>
      </c>
      <c r="G1008" s="2">
        <v>47</v>
      </c>
      <c r="H1008" s="9">
        <v>135</v>
      </c>
    </row>
    <row r="1009" spans="2:8" x14ac:dyDescent="0.25">
      <c r="B1009" s="3">
        <v>44713</v>
      </c>
      <c r="C1009" s="2" t="s">
        <v>15</v>
      </c>
      <c r="D1009" s="2" t="s">
        <v>8</v>
      </c>
      <c r="E1009" s="2" t="s">
        <v>13</v>
      </c>
      <c r="F1009" s="2" t="s">
        <v>10</v>
      </c>
      <c r="G1009" s="2">
        <v>69</v>
      </c>
      <c r="H1009" s="9">
        <v>143</v>
      </c>
    </row>
    <row r="1010" spans="2:8" x14ac:dyDescent="0.25">
      <c r="B1010" s="3">
        <v>44713</v>
      </c>
      <c r="C1010" s="2" t="s">
        <v>17</v>
      </c>
      <c r="D1010" s="2" t="s">
        <v>18</v>
      </c>
      <c r="E1010" s="2" t="s">
        <v>13</v>
      </c>
      <c r="F1010" s="2" t="s">
        <v>16</v>
      </c>
      <c r="G1010" s="2">
        <v>88</v>
      </c>
      <c r="H1010" s="9">
        <v>106</v>
      </c>
    </row>
    <row r="1011" spans="2:8" x14ac:dyDescent="0.25">
      <c r="B1011" s="3">
        <v>44713</v>
      </c>
      <c r="C1011" s="2" t="s">
        <v>7</v>
      </c>
      <c r="D1011" s="2" t="s">
        <v>8</v>
      </c>
      <c r="E1011" s="2" t="s">
        <v>9</v>
      </c>
      <c r="F1011" s="2" t="s">
        <v>16</v>
      </c>
      <c r="G1011" s="2">
        <v>84</v>
      </c>
      <c r="H1011" s="9">
        <v>114</v>
      </c>
    </row>
    <row r="1012" spans="2:8" x14ac:dyDescent="0.25">
      <c r="B1012" s="3">
        <v>44713</v>
      </c>
      <c r="C1012" s="2" t="s">
        <v>19</v>
      </c>
      <c r="D1012" s="2" t="s">
        <v>12</v>
      </c>
      <c r="E1012" s="2" t="s">
        <v>9</v>
      </c>
      <c r="F1012" s="2" t="s">
        <v>16</v>
      </c>
      <c r="G1012" s="2">
        <v>99</v>
      </c>
      <c r="H1012" s="9">
        <v>93</v>
      </c>
    </row>
    <row r="1013" spans="2:8" x14ac:dyDescent="0.25">
      <c r="B1013" s="3">
        <v>44714</v>
      </c>
      <c r="C1013" s="2" t="s">
        <v>28</v>
      </c>
      <c r="D1013" s="2" t="s">
        <v>8</v>
      </c>
      <c r="E1013" s="2" t="s">
        <v>13</v>
      </c>
      <c r="F1013" s="2" t="s">
        <v>16</v>
      </c>
      <c r="G1013" s="2">
        <v>70</v>
      </c>
      <c r="H1013" s="9">
        <v>101</v>
      </c>
    </row>
    <row r="1014" spans="2:8" x14ac:dyDescent="0.25">
      <c r="B1014" s="3">
        <v>44714</v>
      </c>
      <c r="C1014" s="2" t="s">
        <v>29</v>
      </c>
      <c r="D1014" s="2" t="s">
        <v>18</v>
      </c>
      <c r="E1014" s="2" t="s">
        <v>13</v>
      </c>
      <c r="F1014" s="2" t="s">
        <v>16</v>
      </c>
      <c r="G1014" s="2">
        <v>31</v>
      </c>
      <c r="H1014" s="9">
        <v>108</v>
      </c>
    </row>
    <row r="1015" spans="2:8" x14ac:dyDescent="0.25">
      <c r="B1015" s="3">
        <v>44714</v>
      </c>
      <c r="C1015" s="2" t="s">
        <v>26</v>
      </c>
      <c r="D1015" s="2" t="s">
        <v>12</v>
      </c>
      <c r="E1015" s="2" t="s">
        <v>9</v>
      </c>
      <c r="F1015" s="2" t="s">
        <v>10</v>
      </c>
      <c r="G1015" s="2">
        <v>25</v>
      </c>
      <c r="H1015" s="9">
        <v>137</v>
      </c>
    </row>
    <row r="1016" spans="2:8" x14ac:dyDescent="0.25">
      <c r="B1016" s="3">
        <v>44714</v>
      </c>
      <c r="C1016" s="2" t="s">
        <v>29</v>
      </c>
      <c r="D1016" s="2" t="s">
        <v>18</v>
      </c>
      <c r="E1016" s="2" t="s">
        <v>9</v>
      </c>
      <c r="F1016" s="2" t="s">
        <v>16</v>
      </c>
      <c r="G1016" s="2">
        <v>39</v>
      </c>
      <c r="H1016" s="9">
        <v>33</v>
      </c>
    </row>
    <row r="1017" spans="2:8" x14ac:dyDescent="0.25">
      <c r="B1017" s="3">
        <v>44714</v>
      </c>
      <c r="C1017" s="2" t="s">
        <v>29</v>
      </c>
      <c r="D1017" s="2" t="s">
        <v>18</v>
      </c>
      <c r="E1017" s="2" t="s">
        <v>9</v>
      </c>
      <c r="F1017" s="2" t="s">
        <v>16</v>
      </c>
      <c r="G1017" s="2">
        <v>73</v>
      </c>
      <c r="H1017" s="9">
        <v>49</v>
      </c>
    </row>
    <row r="1018" spans="2:8" x14ac:dyDescent="0.25">
      <c r="B1018" s="3">
        <v>44714</v>
      </c>
      <c r="C1018" s="2" t="s">
        <v>22</v>
      </c>
      <c r="D1018" s="2" t="s">
        <v>12</v>
      </c>
      <c r="E1018" s="2" t="s">
        <v>13</v>
      </c>
      <c r="F1018" s="2" t="s">
        <v>10</v>
      </c>
      <c r="G1018" s="2">
        <v>55</v>
      </c>
      <c r="H1018" s="9">
        <v>129</v>
      </c>
    </row>
    <row r="1019" spans="2:8" x14ac:dyDescent="0.25">
      <c r="B1019" s="3">
        <v>44714</v>
      </c>
      <c r="C1019" s="2" t="s">
        <v>11</v>
      </c>
      <c r="D1019" s="2" t="s">
        <v>12</v>
      </c>
      <c r="E1019" s="2" t="s">
        <v>13</v>
      </c>
      <c r="F1019" s="2" t="s">
        <v>14</v>
      </c>
      <c r="G1019" s="2">
        <v>16</v>
      </c>
      <c r="H1019" s="9">
        <v>52</v>
      </c>
    </row>
    <row r="1020" spans="2:8" x14ac:dyDescent="0.25">
      <c r="B1020" s="3">
        <v>44714</v>
      </c>
      <c r="C1020" s="2" t="s">
        <v>22</v>
      </c>
      <c r="D1020" s="2" t="s">
        <v>12</v>
      </c>
      <c r="E1020" s="2" t="s">
        <v>9</v>
      </c>
      <c r="F1020" s="2" t="s">
        <v>10</v>
      </c>
      <c r="G1020" s="2">
        <v>24</v>
      </c>
      <c r="H1020" s="9">
        <v>55</v>
      </c>
    </row>
    <row r="1021" spans="2:8" x14ac:dyDescent="0.25">
      <c r="B1021" s="3">
        <v>44715</v>
      </c>
      <c r="C1021" s="2" t="s">
        <v>29</v>
      </c>
      <c r="D1021" s="2" t="s">
        <v>18</v>
      </c>
      <c r="E1021" s="2" t="s">
        <v>9</v>
      </c>
      <c r="F1021" s="2" t="s">
        <v>14</v>
      </c>
      <c r="G1021" s="2">
        <v>71</v>
      </c>
      <c r="H1021" s="9">
        <v>66</v>
      </c>
    </row>
    <row r="1022" spans="2:8" x14ac:dyDescent="0.25">
      <c r="B1022" s="3">
        <v>44715</v>
      </c>
      <c r="C1022" s="2" t="s">
        <v>15</v>
      </c>
      <c r="D1022" s="2" t="s">
        <v>8</v>
      </c>
      <c r="E1022" s="2" t="s">
        <v>9</v>
      </c>
      <c r="F1022" s="2" t="s">
        <v>10</v>
      </c>
      <c r="G1022" s="2">
        <v>16</v>
      </c>
      <c r="H1022" s="9">
        <v>95</v>
      </c>
    </row>
    <row r="1023" spans="2:8" x14ac:dyDescent="0.25">
      <c r="B1023" s="3">
        <v>44715</v>
      </c>
      <c r="C1023" s="2" t="s">
        <v>17</v>
      </c>
      <c r="D1023" s="2" t="s">
        <v>18</v>
      </c>
      <c r="E1023" s="2" t="s">
        <v>13</v>
      </c>
      <c r="F1023" s="2" t="s">
        <v>16</v>
      </c>
      <c r="G1023" s="2">
        <v>80</v>
      </c>
      <c r="H1023" s="9">
        <v>112</v>
      </c>
    </row>
    <row r="1024" spans="2:8" x14ac:dyDescent="0.25">
      <c r="B1024" s="3">
        <v>44715</v>
      </c>
      <c r="C1024" s="2" t="s">
        <v>22</v>
      </c>
      <c r="D1024" s="2" t="s">
        <v>12</v>
      </c>
      <c r="E1024" s="2" t="s">
        <v>9</v>
      </c>
      <c r="F1024" s="2" t="s">
        <v>16</v>
      </c>
      <c r="G1024" s="2">
        <v>48</v>
      </c>
      <c r="H1024" s="9">
        <v>114</v>
      </c>
    </row>
    <row r="1025" spans="2:8" x14ac:dyDescent="0.25">
      <c r="B1025" s="3">
        <v>44715</v>
      </c>
      <c r="C1025" s="2" t="s">
        <v>27</v>
      </c>
      <c r="D1025" s="2" t="s">
        <v>18</v>
      </c>
      <c r="E1025" s="2" t="s">
        <v>9</v>
      </c>
      <c r="F1025" s="2" t="s">
        <v>16</v>
      </c>
      <c r="G1025" s="2">
        <v>10</v>
      </c>
      <c r="H1025" s="9">
        <v>28</v>
      </c>
    </row>
    <row r="1026" spans="2:8" x14ac:dyDescent="0.25">
      <c r="B1026" s="3">
        <v>44716</v>
      </c>
      <c r="C1026" s="2" t="s">
        <v>26</v>
      </c>
      <c r="D1026" s="2" t="s">
        <v>12</v>
      </c>
      <c r="E1026" s="2" t="s">
        <v>13</v>
      </c>
      <c r="F1026" s="2" t="s">
        <v>10</v>
      </c>
      <c r="G1026" s="2">
        <v>62</v>
      </c>
      <c r="H1026" s="9">
        <v>53</v>
      </c>
    </row>
    <row r="1027" spans="2:8" x14ac:dyDescent="0.25">
      <c r="B1027" s="3">
        <v>44716</v>
      </c>
      <c r="C1027" s="2" t="s">
        <v>24</v>
      </c>
      <c r="D1027" s="2" t="s">
        <v>18</v>
      </c>
      <c r="E1027" s="2" t="s">
        <v>13</v>
      </c>
      <c r="F1027" s="2" t="s">
        <v>14</v>
      </c>
      <c r="G1027" s="2">
        <v>20</v>
      </c>
      <c r="H1027" s="9">
        <v>126</v>
      </c>
    </row>
    <row r="1028" spans="2:8" x14ac:dyDescent="0.25">
      <c r="B1028" s="3">
        <v>44716</v>
      </c>
      <c r="C1028" s="2" t="s">
        <v>25</v>
      </c>
      <c r="D1028" s="2" t="s">
        <v>12</v>
      </c>
      <c r="E1028" s="2" t="s">
        <v>9</v>
      </c>
      <c r="F1028" s="2" t="s">
        <v>10</v>
      </c>
      <c r="G1028" s="2">
        <v>99</v>
      </c>
      <c r="H1028" s="9">
        <v>66</v>
      </c>
    </row>
    <row r="1029" spans="2:8" x14ac:dyDescent="0.25">
      <c r="B1029" s="3">
        <v>44716</v>
      </c>
      <c r="C1029" s="2" t="s">
        <v>20</v>
      </c>
      <c r="D1029" s="2" t="s">
        <v>8</v>
      </c>
      <c r="E1029" s="2" t="s">
        <v>9</v>
      </c>
      <c r="F1029" s="2" t="s">
        <v>14</v>
      </c>
      <c r="G1029" s="2">
        <v>73</v>
      </c>
      <c r="H1029" s="9">
        <v>65</v>
      </c>
    </row>
    <row r="1030" spans="2:8" x14ac:dyDescent="0.25">
      <c r="B1030" s="3">
        <v>44716</v>
      </c>
      <c r="C1030" s="2" t="s">
        <v>19</v>
      </c>
      <c r="D1030" s="2" t="s">
        <v>12</v>
      </c>
      <c r="E1030" s="2" t="s">
        <v>9</v>
      </c>
      <c r="F1030" s="2" t="s">
        <v>16</v>
      </c>
      <c r="G1030" s="2">
        <v>56</v>
      </c>
      <c r="H1030" s="9">
        <v>67</v>
      </c>
    </row>
    <row r="1031" spans="2:8" x14ac:dyDescent="0.25">
      <c r="B1031" s="3">
        <v>44716</v>
      </c>
      <c r="C1031" s="2" t="s">
        <v>22</v>
      </c>
      <c r="D1031" s="2" t="s">
        <v>12</v>
      </c>
      <c r="E1031" s="2" t="s">
        <v>9</v>
      </c>
      <c r="F1031" s="2" t="s">
        <v>10</v>
      </c>
      <c r="G1031" s="2">
        <v>29</v>
      </c>
      <c r="H1031" s="9">
        <v>35</v>
      </c>
    </row>
    <row r="1032" spans="2:8" x14ac:dyDescent="0.25">
      <c r="B1032" s="3">
        <v>44716</v>
      </c>
      <c r="C1032" s="2" t="s">
        <v>11</v>
      </c>
      <c r="D1032" s="2" t="s">
        <v>12</v>
      </c>
      <c r="E1032" s="2" t="s">
        <v>13</v>
      </c>
      <c r="F1032" s="2" t="s">
        <v>16</v>
      </c>
      <c r="G1032" s="2">
        <v>17</v>
      </c>
      <c r="H1032" s="9">
        <v>108</v>
      </c>
    </row>
    <row r="1033" spans="2:8" x14ac:dyDescent="0.25">
      <c r="B1033" s="3">
        <v>44717</v>
      </c>
      <c r="C1033" s="2" t="s">
        <v>7</v>
      </c>
      <c r="D1033" s="2" t="s">
        <v>8</v>
      </c>
      <c r="E1033" s="2" t="s">
        <v>13</v>
      </c>
      <c r="F1033" s="2" t="s">
        <v>14</v>
      </c>
      <c r="G1033" s="2">
        <v>80</v>
      </c>
      <c r="H1033" s="9">
        <v>42</v>
      </c>
    </row>
    <row r="1034" spans="2:8" x14ac:dyDescent="0.25">
      <c r="B1034" s="3">
        <v>44717</v>
      </c>
      <c r="C1034" s="2" t="s">
        <v>22</v>
      </c>
      <c r="D1034" s="2" t="s">
        <v>12</v>
      </c>
      <c r="E1034" s="2" t="s">
        <v>9</v>
      </c>
      <c r="F1034" s="2" t="s">
        <v>16</v>
      </c>
      <c r="G1034" s="2">
        <v>96</v>
      </c>
      <c r="H1034" s="9">
        <v>25</v>
      </c>
    </row>
    <row r="1035" spans="2:8" x14ac:dyDescent="0.25">
      <c r="B1035" s="3">
        <v>44717</v>
      </c>
      <c r="C1035" s="2" t="s">
        <v>27</v>
      </c>
      <c r="D1035" s="2" t="s">
        <v>18</v>
      </c>
      <c r="E1035" s="2" t="s">
        <v>9</v>
      </c>
      <c r="F1035" s="2" t="s">
        <v>16</v>
      </c>
      <c r="G1035" s="2">
        <v>26</v>
      </c>
      <c r="H1035" s="9">
        <v>105</v>
      </c>
    </row>
    <row r="1036" spans="2:8" x14ac:dyDescent="0.25">
      <c r="B1036" s="3">
        <v>44717</v>
      </c>
      <c r="C1036" s="2" t="s">
        <v>19</v>
      </c>
      <c r="D1036" s="2" t="s">
        <v>12</v>
      </c>
      <c r="E1036" s="2" t="s">
        <v>13</v>
      </c>
      <c r="F1036" s="2" t="s">
        <v>10</v>
      </c>
      <c r="G1036" s="2">
        <v>45</v>
      </c>
      <c r="H1036" s="9">
        <v>142</v>
      </c>
    </row>
    <row r="1037" spans="2:8" x14ac:dyDescent="0.25">
      <c r="B1037" s="3">
        <v>44717</v>
      </c>
      <c r="C1037" s="2" t="s">
        <v>28</v>
      </c>
      <c r="D1037" s="2" t="s">
        <v>8</v>
      </c>
      <c r="E1037" s="2" t="s">
        <v>9</v>
      </c>
      <c r="F1037" s="2" t="s">
        <v>10</v>
      </c>
      <c r="G1037" s="2">
        <v>32</v>
      </c>
      <c r="H1037" s="9">
        <v>48</v>
      </c>
    </row>
    <row r="1038" spans="2:8" x14ac:dyDescent="0.25">
      <c r="B1038" s="3">
        <v>44717</v>
      </c>
      <c r="C1038" s="2" t="s">
        <v>22</v>
      </c>
      <c r="D1038" s="2" t="s">
        <v>12</v>
      </c>
      <c r="E1038" s="2" t="s">
        <v>9</v>
      </c>
      <c r="F1038" s="2" t="s">
        <v>10</v>
      </c>
      <c r="G1038" s="2">
        <v>76</v>
      </c>
      <c r="H1038" s="9">
        <v>121</v>
      </c>
    </row>
    <row r="1039" spans="2:8" x14ac:dyDescent="0.25">
      <c r="B1039" s="3">
        <v>44718</v>
      </c>
      <c r="C1039" s="2" t="s">
        <v>19</v>
      </c>
      <c r="D1039" s="2" t="s">
        <v>12</v>
      </c>
      <c r="E1039" s="2" t="s">
        <v>13</v>
      </c>
      <c r="F1039" s="2" t="s">
        <v>16</v>
      </c>
      <c r="G1039" s="2">
        <v>73</v>
      </c>
      <c r="H1039" s="9">
        <v>149</v>
      </c>
    </row>
    <row r="1040" spans="2:8" x14ac:dyDescent="0.25">
      <c r="B1040" s="3">
        <v>44718</v>
      </c>
      <c r="C1040" s="2" t="s">
        <v>21</v>
      </c>
      <c r="D1040" s="2" t="s">
        <v>8</v>
      </c>
      <c r="E1040" s="2" t="s">
        <v>13</v>
      </c>
      <c r="F1040" s="2" t="s">
        <v>14</v>
      </c>
      <c r="G1040" s="2">
        <v>18</v>
      </c>
      <c r="H1040" s="9">
        <v>63</v>
      </c>
    </row>
    <row r="1041" spans="2:8" x14ac:dyDescent="0.25">
      <c r="B1041" s="3">
        <v>44718</v>
      </c>
      <c r="C1041" s="2" t="s">
        <v>22</v>
      </c>
      <c r="D1041" s="2" t="s">
        <v>12</v>
      </c>
      <c r="E1041" s="2" t="s">
        <v>9</v>
      </c>
      <c r="F1041" s="2" t="s">
        <v>14</v>
      </c>
      <c r="G1041" s="2">
        <v>92</v>
      </c>
      <c r="H1041" s="9">
        <v>74</v>
      </c>
    </row>
    <row r="1042" spans="2:8" x14ac:dyDescent="0.25">
      <c r="B1042" s="3">
        <v>44718</v>
      </c>
      <c r="C1042" s="2" t="s">
        <v>26</v>
      </c>
      <c r="D1042" s="2" t="s">
        <v>12</v>
      </c>
      <c r="E1042" s="2" t="s">
        <v>13</v>
      </c>
      <c r="F1042" s="2" t="s">
        <v>14</v>
      </c>
      <c r="G1042" s="2">
        <v>14</v>
      </c>
      <c r="H1042" s="9">
        <v>105</v>
      </c>
    </row>
    <row r="1043" spans="2:8" x14ac:dyDescent="0.25">
      <c r="B1043" s="3">
        <v>44718</v>
      </c>
      <c r="C1043" s="2" t="s">
        <v>26</v>
      </c>
      <c r="D1043" s="2" t="s">
        <v>12</v>
      </c>
      <c r="E1043" s="2" t="s">
        <v>9</v>
      </c>
      <c r="F1043" s="2" t="s">
        <v>16</v>
      </c>
      <c r="G1043" s="2">
        <v>66</v>
      </c>
      <c r="H1043" s="9">
        <v>48</v>
      </c>
    </row>
    <row r="1044" spans="2:8" x14ac:dyDescent="0.25">
      <c r="B1044" s="3">
        <v>44718</v>
      </c>
      <c r="C1044" s="2" t="s">
        <v>11</v>
      </c>
      <c r="D1044" s="2" t="s">
        <v>12</v>
      </c>
      <c r="E1044" s="2" t="s">
        <v>13</v>
      </c>
      <c r="F1044" s="2" t="s">
        <v>14</v>
      </c>
      <c r="G1044" s="2">
        <v>37</v>
      </c>
      <c r="H1044" s="9">
        <v>27</v>
      </c>
    </row>
    <row r="1045" spans="2:8" x14ac:dyDescent="0.25">
      <c r="B1045" s="3">
        <v>44718</v>
      </c>
      <c r="C1045" s="2" t="s">
        <v>23</v>
      </c>
      <c r="D1045" s="2" t="s">
        <v>18</v>
      </c>
      <c r="E1045" s="2" t="s">
        <v>13</v>
      </c>
      <c r="F1045" s="2" t="s">
        <v>16</v>
      </c>
      <c r="G1045" s="2">
        <v>43</v>
      </c>
      <c r="H1045" s="9">
        <v>119</v>
      </c>
    </row>
    <row r="1046" spans="2:8" x14ac:dyDescent="0.25">
      <c r="B1046" s="3">
        <v>44718</v>
      </c>
      <c r="C1046" s="2" t="s">
        <v>22</v>
      </c>
      <c r="D1046" s="2" t="s">
        <v>12</v>
      </c>
      <c r="E1046" s="2" t="s">
        <v>13</v>
      </c>
      <c r="F1046" s="2" t="s">
        <v>14</v>
      </c>
      <c r="G1046" s="2">
        <v>73</v>
      </c>
      <c r="H1046" s="9">
        <v>48</v>
      </c>
    </row>
    <row r="1047" spans="2:8" x14ac:dyDescent="0.25">
      <c r="B1047" s="3">
        <v>44719</v>
      </c>
      <c r="C1047" s="2" t="s">
        <v>17</v>
      </c>
      <c r="D1047" s="2" t="s">
        <v>18</v>
      </c>
      <c r="E1047" s="2" t="s">
        <v>9</v>
      </c>
      <c r="F1047" s="2" t="s">
        <v>14</v>
      </c>
      <c r="G1047" s="2">
        <v>81</v>
      </c>
      <c r="H1047" s="9">
        <v>38</v>
      </c>
    </row>
    <row r="1048" spans="2:8" x14ac:dyDescent="0.25">
      <c r="B1048" s="3">
        <v>44719</v>
      </c>
      <c r="C1048" s="2" t="s">
        <v>26</v>
      </c>
      <c r="D1048" s="2" t="s">
        <v>12</v>
      </c>
      <c r="E1048" s="2" t="s">
        <v>13</v>
      </c>
      <c r="F1048" s="2" t="s">
        <v>16</v>
      </c>
      <c r="G1048" s="2">
        <v>12</v>
      </c>
      <c r="H1048" s="9">
        <v>62</v>
      </c>
    </row>
    <row r="1049" spans="2:8" x14ac:dyDescent="0.25">
      <c r="B1049" s="3">
        <v>44719</v>
      </c>
      <c r="C1049" s="2" t="s">
        <v>7</v>
      </c>
      <c r="D1049" s="2" t="s">
        <v>8</v>
      </c>
      <c r="E1049" s="2" t="s">
        <v>9</v>
      </c>
      <c r="F1049" s="2" t="s">
        <v>16</v>
      </c>
      <c r="G1049" s="2">
        <v>85</v>
      </c>
      <c r="H1049" s="9">
        <v>118</v>
      </c>
    </row>
    <row r="1050" spans="2:8" x14ac:dyDescent="0.25">
      <c r="B1050" s="3">
        <v>44719</v>
      </c>
      <c r="C1050" s="2" t="s">
        <v>19</v>
      </c>
      <c r="D1050" s="2" t="s">
        <v>12</v>
      </c>
      <c r="E1050" s="2" t="s">
        <v>9</v>
      </c>
      <c r="F1050" s="2" t="s">
        <v>10</v>
      </c>
      <c r="G1050" s="2">
        <v>46</v>
      </c>
      <c r="H1050" s="9">
        <v>143</v>
      </c>
    </row>
    <row r="1051" spans="2:8" x14ac:dyDescent="0.25">
      <c r="B1051" s="3">
        <v>44719</v>
      </c>
      <c r="C1051" s="2" t="s">
        <v>20</v>
      </c>
      <c r="D1051" s="2" t="s">
        <v>8</v>
      </c>
      <c r="E1051" s="2" t="s">
        <v>13</v>
      </c>
      <c r="F1051" s="2" t="s">
        <v>10</v>
      </c>
      <c r="G1051" s="2">
        <v>79</v>
      </c>
      <c r="H1051" s="9">
        <v>27</v>
      </c>
    </row>
    <row r="1052" spans="2:8" x14ac:dyDescent="0.25">
      <c r="B1052" s="3">
        <v>44719</v>
      </c>
      <c r="C1052" s="2" t="s">
        <v>19</v>
      </c>
      <c r="D1052" s="2" t="s">
        <v>12</v>
      </c>
      <c r="E1052" s="2" t="s">
        <v>13</v>
      </c>
      <c r="F1052" s="2" t="s">
        <v>10</v>
      </c>
      <c r="G1052" s="2">
        <v>87</v>
      </c>
      <c r="H1052" s="9">
        <v>112</v>
      </c>
    </row>
    <row r="1053" spans="2:8" x14ac:dyDescent="0.25">
      <c r="B1053" s="3">
        <v>44719</v>
      </c>
      <c r="C1053" s="2" t="s">
        <v>26</v>
      </c>
      <c r="D1053" s="2" t="s">
        <v>12</v>
      </c>
      <c r="E1053" s="2" t="s">
        <v>13</v>
      </c>
      <c r="F1053" s="2" t="s">
        <v>14</v>
      </c>
      <c r="G1053" s="2">
        <v>15</v>
      </c>
      <c r="H1053" s="9">
        <v>114</v>
      </c>
    </row>
    <row r="1054" spans="2:8" x14ac:dyDescent="0.25">
      <c r="B1054" s="3">
        <v>44719</v>
      </c>
      <c r="C1054" s="2" t="s">
        <v>26</v>
      </c>
      <c r="D1054" s="2" t="s">
        <v>12</v>
      </c>
      <c r="E1054" s="2" t="s">
        <v>9</v>
      </c>
      <c r="F1054" s="2" t="s">
        <v>14</v>
      </c>
      <c r="G1054" s="2">
        <v>12</v>
      </c>
      <c r="H1054" s="9">
        <v>148</v>
      </c>
    </row>
    <row r="1055" spans="2:8" x14ac:dyDescent="0.25">
      <c r="B1055" s="3">
        <v>44720</v>
      </c>
      <c r="C1055" s="2" t="s">
        <v>22</v>
      </c>
      <c r="D1055" s="2" t="s">
        <v>12</v>
      </c>
      <c r="E1055" s="2" t="s">
        <v>13</v>
      </c>
      <c r="F1055" s="2" t="s">
        <v>16</v>
      </c>
      <c r="G1055" s="2">
        <v>34</v>
      </c>
      <c r="H1055" s="9">
        <v>114</v>
      </c>
    </row>
    <row r="1056" spans="2:8" x14ac:dyDescent="0.25">
      <c r="B1056" s="3">
        <v>44720</v>
      </c>
      <c r="C1056" s="2" t="s">
        <v>17</v>
      </c>
      <c r="D1056" s="2" t="s">
        <v>18</v>
      </c>
      <c r="E1056" s="2" t="s">
        <v>13</v>
      </c>
      <c r="F1056" s="2" t="s">
        <v>10</v>
      </c>
      <c r="G1056" s="2">
        <v>80</v>
      </c>
      <c r="H1056" s="9">
        <v>81</v>
      </c>
    </row>
    <row r="1057" spans="2:8" x14ac:dyDescent="0.25">
      <c r="B1057" s="3">
        <v>44720</v>
      </c>
      <c r="C1057" s="2" t="s">
        <v>20</v>
      </c>
      <c r="D1057" s="2" t="s">
        <v>8</v>
      </c>
      <c r="E1057" s="2" t="s">
        <v>9</v>
      </c>
      <c r="F1057" s="2" t="s">
        <v>14</v>
      </c>
      <c r="G1057" s="2">
        <v>19</v>
      </c>
      <c r="H1057" s="9">
        <v>78</v>
      </c>
    </row>
    <row r="1058" spans="2:8" x14ac:dyDescent="0.25">
      <c r="B1058" s="3">
        <v>44720</v>
      </c>
      <c r="C1058" s="2" t="s">
        <v>20</v>
      </c>
      <c r="D1058" s="2" t="s">
        <v>8</v>
      </c>
      <c r="E1058" s="2" t="s">
        <v>13</v>
      </c>
      <c r="F1058" s="2" t="s">
        <v>16</v>
      </c>
      <c r="G1058" s="2">
        <v>56</v>
      </c>
      <c r="H1058" s="9">
        <v>35</v>
      </c>
    </row>
    <row r="1059" spans="2:8" x14ac:dyDescent="0.25">
      <c r="B1059" s="3">
        <v>44721</v>
      </c>
      <c r="C1059" s="2" t="s">
        <v>15</v>
      </c>
      <c r="D1059" s="2" t="s">
        <v>8</v>
      </c>
      <c r="E1059" s="2" t="s">
        <v>9</v>
      </c>
      <c r="F1059" s="2" t="s">
        <v>10</v>
      </c>
      <c r="G1059" s="2">
        <v>68</v>
      </c>
      <c r="H1059" s="9">
        <v>34</v>
      </c>
    </row>
    <row r="1060" spans="2:8" x14ac:dyDescent="0.25">
      <c r="B1060" s="3">
        <v>44721</v>
      </c>
      <c r="C1060" s="2" t="s">
        <v>21</v>
      </c>
      <c r="D1060" s="2" t="s">
        <v>8</v>
      </c>
      <c r="E1060" s="2" t="s">
        <v>13</v>
      </c>
      <c r="F1060" s="2" t="s">
        <v>10</v>
      </c>
      <c r="G1060" s="2">
        <v>75</v>
      </c>
      <c r="H1060" s="9">
        <v>125</v>
      </c>
    </row>
    <row r="1061" spans="2:8" x14ac:dyDescent="0.25">
      <c r="B1061" s="3">
        <v>44721</v>
      </c>
      <c r="C1061" s="2" t="s">
        <v>17</v>
      </c>
      <c r="D1061" s="2" t="s">
        <v>18</v>
      </c>
      <c r="E1061" s="2" t="s">
        <v>13</v>
      </c>
      <c r="F1061" s="2" t="s">
        <v>14</v>
      </c>
      <c r="G1061" s="2">
        <v>35</v>
      </c>
      <c r="H1061" s="9">
        <v>85</v>
      </c>
    </row>
    <row r="1062" spans="2:8" x14ac:dyDescent="0.25">
      <c r="B1062" s="3">
        <v>44721</v>
      </c>
      <c r="C1062" s="2" t="s">
        <v>22</v>
      </c>
      <c r="D1062" s="2" t="s">
        <v>12</v>
      </c>
      <c r="E1062" s="2" t="s">
        <v>9</v>
      </c>
      <c r="F1062" s="2" t="s">
        <v>10</v>
      </c>
      <c r="G1062" s="2">
        <v>70</v>
      </c>
      <c r="H1062" s="9">
        <v>38</v>
      </c>
    </row>
    <row r="1063" spans="2:8" x14ac:dyDescent="0.25">
      <c r="B1063" s="3">
        <v>44721</v>
      </c>
      <c r="C1063" s="2" t="s">
        <v>28</v>
      </c>
      <c r="D1063" s="2" t="s">
        <v>8</v>
      </c>
      <c r="E1063" s="2" t="s">
        <v>13</v>
      </c>
      <c r="F1063" s="2" t="s">
        <v>10</v>
      </c>
      <c r="G1063" s="2">
        <v>98</v>
      </c>
      <c r="H1063" s="9">
        <v>123</v>
      </c>
    </row>
    <row r="1064" spans="2:8" x14ac:dyDescent="0.25">
      <c r="B1064" s="3">
        <v>44721</v>
      </c>
      <c r="C1064" s="2" t="s">
        <v>26</v>
      </c>
      <c r="D1064" s="2" t="s">
        <v>12</v>
      </c>
      <c r="E1064" s="2" t="s">
        <v>13</v>
      </c>
      <c r="F1064" s="2" t="s">
        <v>10</v>
      </c>
      <c r="G1064" s="2">
        <v>89</v>
      </c>
      <c r="H1064" s="9">
        <v>130</v>
      </c>
    </row>
    <row r="1065" spans="2:8" x14ac:dyDescent="0.25">
      <c r="B1065" s="3">
        <v>44721</v>
      </c>
      <c r="C1065" s="2" t="s">
        <v>28</v>
      </c>
      <c r="D1065" s="2" t="s">
        <v>8</v>
      </c>
      <c r="E1065" s="2" t="s">
        <v>13</v>
      </c>
      <c r="F1065" s="2" t="s">
        <v>14</v>
      </c>
      <c r="G1065" s="2">
        <v>20</v>
      </c>
      <c r="H1065" s="9">
        <v>79</v>
      </c>
    </row>
    <row r="1066" spans="2:8" x14ac:dyDescent="0.25">
      <c r="B1066" s="3">
        <v>44721</v>
      </c>
      <c r="C1066" s="2" t="s">
        <v>22</v>
      </c>
      <c r="D1066" s="2" t="s">
        <v>12</v>
      </c>
      <c r="E1066" s="2" t="s">
        <v>9</v>
      </c>
      <c r="F1066" s="2" t="s">
        <v>10</v>
      </c>
      <c r="G1066" s="2">
        <v>47</v>
      </c>
      <c r="H1066" s="9">
        <v>105</v>
      </c>
    </row>
    <row r="1067" spans="2:8" x14ac:dyDescent="0.25">
      <c r="B1067" s="3">
        <v>44721</v>
      </c>
      <c r="C1067" s="2" t="s">
        <v>19</v>
      </c>
      <c r="D1067" s="2" t="s">
        <v>12</v>
      </c>
      <c r="E1067" s="2" t="s">
        <v>13</v>
      </c>
      <c r="F1067" s="2" t="s">
        <v>14</v>
      </c>
      <c r="G1067" s="2">
        <v>42</v>
      </c>
      <c r="H1067" s="9">
        <v>25</v>
      </c>
    </row>
    <row r="1068" spans="2:8" x14ac:dyDescent="0.25">
      <c r="B1068" s="3">
        <v>44721</v>
      </c>
      <c r="C1068" s="2" t="s">
        <v>26</v>
      </c>
      <c r="D1068" s="2" t="s">
        <v>12</v>
      </c>
      <c r="E1068" s="2" t="s">
        <v>9</v>
      </c>
      <c r="F1068" s="2" t="s">
        <v>16</v>
      </c>
      <c r="G1068" s="2">
        <v>88</v>
      </c>
      <c r="H1068" s="9">
        <v>67</v>
      </c>
    </row>
    <row r="1069" spans="2:8" x14ac:dyDescent="0.25">
      <c r="B1069" s="3">
        <v>44721</v>
      </c>
      <c r="C1069" s="2" t="s">
        <v>24</v>
      </c>
      <c r="D1069" s="2" t="s">
        <v>18</v>
      </c>
      <c r="E1069" s="2" t="s">
        <v>13</v>
      </c>
      <c r="F1069" s="2" t="s">
        <v>10</v>
      </c>
      <c r="G1069" s="2">
        <v>29</v>
      </c>
      <c r="H1069" s="9">
        <v>24</v>
      </c>
    </row>
    <row r="1070" spans="2:8" x14ac:dyDescent="0.25">
      <c r="B1070" s="3">
        <v>44721</v>
      </c>
      <c r="C1070" s="2" t="s">
        <v>22</v>
      </c>
      <c r="D1070" s="2" t="s">
        <v>12</v>
      </c>
      <c r="E1070" s="2" t="s">
        <v>13</v>
      </c>
      <c r="F1070" s="2" t="s">
        <v>16</v>
      </c>
      <c r="G1070" s="2">
        <v>45</v>
      </c>
      <c r="H1070" s="9">
        <v>29</v>
      </c>
    </row>
    <row r="1071" spans="2:8" x14ac:dyDescent="0.25">
      <c r="B1071" s="3">
        <v>44721</v>
      </c>
      <c r="C1071" s="2" t="s">
        <v>26</v>
      </c>
      <c r="D1071" s="2" t="s">
        <v>12</v>
      </c>
      <c r="E1071" s="2" t="s">
        <v>13</v>
      </c>
      <c r="F1071" s="2" t="s">
        <v>16</v>
      </c>
      <c r="G1071" s="2">
        <v>55</v>
      </c>
      <c r="H1071" s="9">
        <v>115</v>
      </c>
    </row>
    <row r="1072" spans="2:8" x14ac:dyDescent="0.25">
      <c r="B1072" s="3">
        <v>44721</v>
      </c>
      <c r="C1072" s="2" t="s">
        <v>7</v>
      </c>
      <c r="D1072" s="2" t="s">
        <v>8</v>
      </c>
      <c r="E1072" s="2" t="s">
        <v>13</v>
      </c>
      <c r="F1072" s="2" t="s">
        <v>10</v>
      </c>
      <c r="G1072" s="2">
        <v>21</v>
      </c>
      <c r="H1072" s="9">
        <v>126</v>
      </c>
    </row>
    <row r="1073" spans="2:8" x14ac:dyDescent="0.25">
      <c r="B1073" s="3">
        <v>44722</v>
      </c>
      <c r="C1073" s="2" t="s">
        <v>28</v>
      </c>
      <c r="D1073" s="2" t="s">
        <v>8</v>
      </c>
      <c r="E1073" s="2" t="s">
        <v>9</v>
      </c>
      <c r="F1073" s="2" t="s">
        <v>10</v>
      </c>
      <c r="G1073" s="2">
        <v>96</v>
      </c>
      <c r="H1073" s="9">
        <v>124</v>
      </c>
    </row>
    <row r="1074" spans="2:8" x14ac:dyDescent="0.25">
      <c r="B1074" s="3">
        <v>44722</v>
      </c>
      <c r="C1074" s="2" t="s">
        <v>28</v>
      </c>
      <c r="D1074" s="2" t="s">
        <v>8</v>
      </c>
      <c r="E1074" s="2" t="s">
        <v>13</v>
      </c>
      <c r="F1074" s="2" t="s">
        <v>10</v>
      </c>
      <c r="G1074" s="2">
        <v>80</v>
      </c>
      <c r="H1074" s="9">
        <v>62</v>
      </c>
    </row>
    <row r="1075" spans="2:8" x14ac:dyDescent="0.25">
      <c r="B1075" s="3">
        <v>44722</v>
      </c>
      <c r="C1075" s="2" t="s">
        <v>24</v>
      </c>
      <c r="D1075" s="2" t="s">
        <v>18</v>
      </c>
      <c r="E1075" s="2" t="s">
        <v>9</v>
      </c>
      <c r="F1075" s="2" t="s">
        <v>16</v>
      </c>
      <c r="G1075" s="2">
        <v>30</v>
      </c>
      <c r="H1075" s="9">
        <v>145</v>
      </c>
    </row>
    <row r="1076" spans="2:8" x14ac:dyDescent="0.25">
      <c r="B1076" s="3">
        <v>44722</v>
      </c>
      <c r="C1076" s="2" t="s">
        <v>23</v>
      </c>
      <c r="D1076" s="2" t="s">
        <v>18</v>
      </c>
      <c r="E1076" s="2" t="s">
        <v>9</v>
      </c>
      <c r="F1076" s="2" t="s">
        <v>16</v>
      </c>
      <c r="G1076" s="2">
        <v>89</v>
      </c>
      <c r="H1076" s="9">
        <v>64</v>
      </c>
    </row>
    <row r="1077" spans="2:8" x14ac:dyDescent="0.25">
      <c r="B1077" s="3">
        <v>44722</v>
      </c>
      <c r="C1077" s="2" t="s">
        <v>28</v>
      </c>
      <c r="D1077" s="2" t="s">
        <v>8</v>
      </c>
      <c r="E1077" s="2" t="s">
        <v>13</v>
      </c>
      <c r="F1077" s="2" t="s">
        <v>10</v>
      </c>
      <c r="G1077" s="2">
        <v>50</v>
      </c>
      <c r="H1077" s="9">
        <v>57</v>
      </c>
    </row>
    <row r="1078" spans="2:8" x14ac:dyDescent="0.25">
      <c r="B1078" s="3">
        <v>44722</v>
      </c>
      <c r="C1078" s="2" t="s">
        <v>15</v>
      </c>
      <c r="D1078" s="2" t="s">
        <v>8</v>
      </c>
      <c r="E1078" s="2" t="s">
        <v>13</v>
      </c>
      <c r="F1078" s="2" t="s">
        <v>16</v>
      </c>
      <c r="G1078" s="2">
        <v>19</v>
      </c>
      <c r="H1078" s="9">
        <v>92</v>
      </c>
    </row>
    <row r="1079" spans="2:8" x14ac:dyDescent="0.25">
      <c r="B1079" s="3">
        <v>44722</v>
      </c>
      <c r="C1079" s="2" t="s">
        <v>24</v>
      </c>
      <c r="D1079" s="2" t="s">
        <v>18</v>
      </c>
      <c r="E1079" s="2" t="s">
        <v>13</v>
      </c>
      <c r="F1079" s="2" t="s">
        <v>10</v>
      </c>
      <c r="G1079" s="2">
        <v>88</v>
      </c>
      <c r="H1079" s="9">
        <v>108</v>
      </c>
    </row>
    <row r="1080" spans="2:8" x14ac:dyDescent="0.25">
      <c r="B1080" s="3">
        <v>44722</v>
      </c>
      <c r="C1080" s="2" t="s">
        <v>23</v>
      </c>
      <c r="D1080" s="2" t="s">
        <v>18</v>
      </c>
      <c r="E1080" s="2" t="s">
        <v>13</v>
      </c>
      <c r="F1080" s="2" t="s">
        <v>10</v>
      </c>
      <c r="G1080" s="2">
        <v>34</v>
      </c>
      <c r="H1080" s="9">
        <v>82</v>
      </c>
    </row>
    <row r="1081" spans="2:8" x14ac:dyDescent="0.25">
      <c r="B1081" s="3">
        <v>44723</v>
      </c>
      <c r="C1081" s="2" t="s">
        <v>15</v>
      </c>
      <c r="D1081" s="2" t="s">
        <v>8</v>
      </c>
      <c r="E1081" s="2" t="s">
        <v>13</v>
      </c>
      <c r="F1081" s="2" t="s">
        <v>16</v>
      </c>
      <c r="G1081" s="2">
        <v>45</v>
      </c>
      <c r="H1081" s="9">
        <v>52</v>
      </c>
    </row>
    <row r="1082" spans="2:8" x14ac:dyDescent="0.25">
      <c r="B1082" s="3">
        <v>44723</v>
      </c>
      <c r="C1082" s="2" t="s">
        <v>21</v>
      </c>
      <c r="D1082" s="2" t="s">
        <v>8</v>
      </c>
      <c r="E1082" s="2" t="s">
        <v>9</v>
      </c>
      <c r="F1082" s="2" t="s">
        <v>10</v>
      </c>
      <c r="G1082" s="2">
        <v>79</v>
      </c>
      <c r="H1082" s="9">
        <v>106</v>
      </c>
    </row>
    <row r="1083" spans="2:8" x14ac:dyDescent="0.25">
      <c r="B1083" s="3">
        <v>44723</v>
      </c>
      <c r="C1083" s="2" t="s">
        <v>19</v>
      </c>
      <c r="D1083" s="2" t="s">
        <v>12</v>
      </c>
      <c r="E1083" s="2" t="s">
        <v>13</v>
      </c>
      <c r="F1083" s="2" t="s">
        <v>14</v>
      </c>
      <c r="G1083" s="2">
        <v>45</v>
      </c>
      <c r="H1083" s="9">
        <v>130</v>
      </c>
    </row>
    <row r="1084" spans="2:8" x14ac:dyDescent="0.25">
      <c r="B1084" s="3">
        <v>44723</v>
      </c>
      <c r="C1084" s="2" t="s">
        <v>20</v>
      </c>
      <c r="D1084" s="2" t="s">
        <v>8</v>
      </c>
      <c r="E1084" s="2" t="s">
        <v>13</v>
      </c>
      <c r="F1084" s="2" t="s">
        <v>10</v>
      </c>
      <c r="G1084" s="2">
        <v>10</v>
      </c>
      <c r="H1084" s="9">
        <v>91</v>
      </c>
    </row>
    <row r="1085" spans="2:8" x14ac:dyDescent="0.25">
      <c r="B1085" s="3">
        <v>44723</v>
      </c>
      <c r="C1085" s="2" t="s">
        <v>26</v>
      </c>
      <c r="D1085" s="2" t="s">
        <v>12</v>
      </c>
      <c r="E1085" s="2" t="s">
        <v>13</v>
      </c>
      <c r="F1085" s="2" t="s">
        <v>16</v>
      </c>
      <c r="G1085" s="2">
        <v>12</v>
      </c>
      <c r="H1085" s="9">
        <v>37</v>
      </c>
    </row>
    <row r="1086" spans="2:8" x14ac:dyDescent="0.25">
      <c r="B1086" s="3">
        <v>44723</v>
      </c>
      <c r="C1086" s="2" t="s">
        <v>28</v>
      </c>
      <c r="D1086" s="2" t="s">
        <v>8</v>
      </c>
      <c r="E1086" s="2" t="s">
        <v>9</v>
      </c>
      <c r="F1086" s="2" t="s">
        <v>14</v>
      </c>
      <c r="G1086" s="2">
        <v>14</v>
      </c>
      <c r="H1086" s="9">
        <v>136</v>
      </c>
    </row>
    <row r="1087" spans="2:8" x14ac:dyDescent="0.25">
      <c r="B1087" s="3">
        <v>44723</v>
      </c>
      <c r="C1087" s="2" t="s">
        <v>23</v>
      </c>
      <c r="D1087" s="2" t="s">
        <v>18</v>
      </c>
      <c r="E1087" s="2" t="s">
        <v>13</v>
      </c>
      <c r="F1087" s="2" t="s">
        <v>14</v>
      </c>
      <c r="G1087" s="2">
        <v>44</v>
      </c>
      <c r="H1087" s="9">
        <v>24</v>
      </c>
    </row>
    <row r="1088" spans="2:8" x14ac:dyDescent="0.25">
      <c r="B1088" s="3">
        <v>44723</v>
      </c>
      <c r="C1088" s="2" t="s">
        <v>19</v>
      </c>
      <c r="D1088" s="2" t="s">
        <v>12</v>
      </c>
      <c r="E1088" s="2" t="s">
        <v>13</v>
      </c>
      <c r="F1088" s="2" t="s">
        <v>10</v>
      </c>
      <c r="G1088" s="2">
        <v>80</v>
      </c>
      <c r="H1088" s="9">
        <v>44</v>
      </c>
    </row>
    <row r="1089" spans="2:8" x14ac:dyDescent="0.25">
      <c r="B1089" s="3">
        <v>44723</v>
      </c>
      <c r="C1089" s="2" t="s">
        <v>7</v>
      </c>
      <c r="D1089" s="2" t="s">
        <v>8</v>
      </c>
      <c r="E1089" s="2" t="s">
        <v>13</v>
      </c>
      <c r="F1089" s="2" t="s">
        <v>16</v>
      </c>
      <c r="G1089" s="2">
        <v>45</v>
      </c>
      <c r="H1089" s="9">
        <v>130</v>
      </c>
    </row>
    <row r="1090" spans="2:8" x14ac:dyDescent="0.25">
      <c r="B1090" s="3">
        <v>44723</v>
      </c>
      <c r="C1090" s="2" t="s">
        <v>21</v>
      </c>
      <c r="D1090" s="2" t="s">
        <v>8</v>
      </c>
      <c r="E1090" s="2" t="s">
        <v>9</v>
      </c>
      <c r="F1090" s="2" t="s">
        <v>16</v>
      </c>
      <c r="G1090" s="2">
        <v>40</v>
      </c>
      <c r="H1090" s="9">
        <v>99</v>
      </c>
    </row>
    <row r="1091" spans="2:8" x14ac:dyDescent="0.25">
      <c r="B1091" s="3">
        <v>44723</v>
      </c>
      <c r="C1091" s="2" t="s">
        <v>21</v>
      </c>
      <c r="D1091" s="2" t="s">
        <v>8</v>
      </c>
      <c r="E1091" s="2" t="s">
        <v>13</v>
      </c>
      <c r="F1091" s="2" t="s">
        <v>16</v>
      </c>
      <c r="G1091" s="2">
        <v>30</v>
      </c>
      <c r="H1091" s="9">
        <v>88</v>
      </c>
    </row>
    <row r="1092" spans="2:8" x14ac:dyDescent="0.25">
      <c r="B1092" s="3">
        <v>44724</v>
      </c>
      <c r="C1092" s="2" t="s">
        <v>7</v>
      </c>
      <c r="D1092" s="2" t="s">
        <v>8</v>
      </c>
      <c r="E1092" s="2" t="s">
        <v>9</v>
      </c>
      <c r="F1092" s="2" t="s">
        <v>10</v>
      </c>
      <c r="G1092" s="2">
        <v>29</v>
      </c>
      <c r="H1092" s="9">
        <v>85</v>
      </c>
    </row>
    <row r="1093" spans="2:8" x14ac:dyDescent="0.25">
      <c r="B1093" s="3">
        <v>44724</v>
      </c>
      <c r="C1093" s="2" t="s">
        <v>29</v>
      </c>
      <c r="D1093" s="2" t="s">
        <v>18</v>
      </c>
      <c r="E1093" s="2" t="s">
        <v>9</v>
      </c>
      <c r="F1093" s="2" t="s">
        <v>16</v>
      </c>
      <c r="G1093" s="2">
        <v>24</v>
      </c>
      <c r="H1093" s="9">
        <v>57</v>
      </c>
    </row>
    <row r="1094" spans="2:8" x14ac:dyDescent="0.25">
      <c r="B1094" s="3">
        <v>44724</v>
      </c>
      <c r="C1094" s="2" t="s">
        <v>26</v>
      </c>
      <c r="D1094" s="2" t="s">
        <v>12</v>
      </c>
      <c r="E1094" s="2" t="s">
        <v>9</v>
      </c>
      <c r="F1094" s="2" t="s">
        <v>10</v>
      </c>
      <c r="G1094" s="2">
        <v>51</v>
      </c>
      <c r="H1094" s="9">
        <v>135</v>
      </c>
    </row>
    <row r="1095" spans="2:8" x14ac:dyDescent="0.25">
      <c r="B1095" s="3">
        <v>44724</v>
      </c>
      <c r="C1095" s="2" t="s">
        <v>25</v>
      </c>
      <c r="D1095" s="2" t="s">
        <v>12</v>
      </c>
      <c r="E1095" s="2" t="s">
        <v>9</v>
      </c>
      <c r="F1095" s="2" t="s">
        <v>16</v>
      </c>
      <c r="G1095" s="2">
        <v>35</v>
      </c>
      <c r="H1095" s="9">
        <v>75</v>
      </c>
    </row>
    <row r="1096" spans="2:8" x14ac:dyDescent="0.25">
      <c r="B1096" s="3">
        <v>44724</v>
      </c>
      <c r="C1096" s="2" t="s">
        <v>19</v>
      </c>
      <c r="D1096" s="2" t="s">
        <v>12</v>
      </c>
      <c r="E1096" s="2" t="s">
        <v>13</v>
      </c>
      <c r="F1096" s="2" t="s">
        <v>16</v>
      </c>
      <c r="G1096" s="2">
        <v>70</v>
      </c>
      <c r="H1096" s="9">
        <v>77</v>
      </c>
    </row>
    <row r="1097" spans="2:8" x14ac:dyDescent="0.25">
      <c r="B1097" s="3">
        <v>44725</v>
      </c>
      <c r="C1097" s="2" t="s">
        <v>26</v>
      </c>
      <c r="D1097" s="2" t="s">
        <v>12</v>
      </c>
      <c r="E1097" s="2" t="s">
        <v>13</v>
      </c>
      <c r="F1097" s="2" t="s">
        <v>10</v>
      </c>
      <c r="G1097" s="2">
        <v>52</v>
      </c>
      <c r="H1097" s="9">
        <v>66</v>
      </c>
    </row>
    <row r="1098" spans="2:8" x14ac:dyDescent="0.25">
      <c r="B1098" s="3">
        <v>44725</v>
      </c>
      <c r="C1098" s="2" t="s">
        <v>28</v>
      </c>
      <c r="D1098" s="2" t="s">
        <v>8</v>
      </c>
      <c r="E1098" s="2" t="s">
        <v>13</v>
      </c>
      <c r="F1098" s="2" t="s">
        <v>10</v>
      </c>
      <c r="G1098" s="2">
        <v>83</v>
      </c>
      <c r="H1098" s="9">
        <v>145</v>
      </c>
    </row>
    <row r="1099" spans="2:8" x14ac:dyDescent="0.25">
      <c r="B1099" s="3">
        <v>44725</v>
      </c>
      <c r="C1099" s="2" t="s">
        <v>7</v>
      </c>
      <c r="D1099" s="2" t="s">
        <v>8</v>
      </c>
      <c r="E1099" s="2" t="s">
        <v>9</v>
      </c>
      <c r="F1099" s="2" t="s">
        <v>14</v>
      </c>
      <c r="G1099" s="2">
        <v>69</v>
      </c>
      <c r="H1099" s="9">
        <v>69</v>
      </c>
    </row>
    <row r="1100" spans="2:8" x14ac:dyDescent="0.25">
      <c r="B1100" s="3">
        <v>44725</v>
      </c>
      <c r="C1100" s="2" t="s">
        <v>25</v>
      </c>
      <c r="D1100" s="2" t="s">
        <v>12</v>
      </c>
      <c r="E1100" s="2" t="s">
        <v>13</v>
      </c>
      <c r="F1100" s="2" t="s">
        <v>14</v>
      </c>
      <c r="G1100" s="2">
        <v>47</v>
      </c>
      <c r="H1100" s="9">
        <v>138</v>
      </c>
    </row>
    <row r="1101" spans="2:8" x14ac:dyDescent="0.25">
      <c r="B1101" s="3">
        <v>44725</v>
      </c>
      <c r="C1101" s="2" t="s">
        <v>23</v>
      </c>
      <c r="D1101" s="2" t="s">
        <v>18</v>
      </c>
      <c r="E1101" s="2" t="s">
        <v>9</v>
      </c>
      <c r="F1101" s="2" t="s">
        <v>10</v>
      </c>
      <c r="G1101" s="2">
        <v>95</v>
      </c>
      <c r="H1101" s="9">
        <v>66</v>
      </c>
    </row>
    <row r="1102" spans="2:8" x14ac:dyDescent="0.25">
      <c r="B1102" s="3">
        <v>44725</v>
      </c>
      <c r="C1102" s="2" t="s">
        <v>26</v>
      </c>
      <c r="D1102" s="2" t="s">
        <v>12</v>
      </c>
      <c r="E1102" s="2" t="s">
        <v>9</v>
      </c>
      <c r="F1102" s="2" t="s">
        <v>14</v>
      </c>
      <c r="G1102" s="2">
        <v>95</v>
      </c>
      <c r="H1102" s="9">
        <v>44</v>
      </c>
    </row>
    <row r="1103" spans="2:8" x14ac:dyDescent="0.25">
      <c r="B1103" s="3">
        <v>44725</v>
      </c>
      <c r="C1103" s="2" t="s">
        <v>29</v>
      </c>
      <c r="D1103" s="2" t="s">
        <v>18</v>
      </c>
      <c r="E1103" s="2" t="s">
        <v>9</v>
      </c>
      <c r="F1103" s="2" t="s">
        <v>14</v>
      </c>
      <c r="G1103" s="2">
        <v>29</v>
      </c>
      <c r="H1103" s="9">
        <v>116</v>
      </c>
    </row>
    <row r="1104" spans="2:8" x14ac:dyDescent="0.25">
      <c r="B1104" s="3">
        <v>44725</v>
      </c>
      <c r="C1104" s="2" t="s">
        <v>23</v>
      </c>
      <c r="D1104" s="2" t="s">
        <v>18</v>
      </c>
      <c r="E1104" s="2" t="s">
        <v>13</v>
      </c>
      <c r="F1104" s="2" t="s">
        <v>16</v>
      </c>
      <c r="G1104" s="2">
        <v>44</v>
      </c>
      <c r="H1104" s="9">
        <v>107</v>
      </c>
    </row>
    <row r="1105" spans="2:8" x14ac:dyDescent="0.25">
      <c r="B1105" s="3">
        <v>44725</v>
      </c>
      <c r="C1105" s="2" t="s">
        <v>20</v>
      </c>
      <c r="D1105" s="2" t="s">
        <v>8</v>
      </c>
      <c r="E1105" s="2" t="s">
        <v>13</v>
      </c>
      <c r="F1105" s="2" t="s">
        <v>16</v>
      </c>
      <c r="G1105" s="2">
        <v>96</v>
      </c>
      <c r="H1105" s="9">
        <v>120</v>
      </c>
    </row>
    <row r="1106" spans="2:8" x14ac:dyDescent="0.25">
      <c r="B1106" s="3">
        <v>44726</v>
      </c>
      <c r="C1106" s="2" t="s">
        <v>21</v>
      </c>
      <c r="D1106" s="2" t="s">
        <v>8</v>
      </c>
      <c r="E1106" s="2" t="s">
        <v>13</v>
      </c>
      <c r="F1106" s="2" t="s">
        <v>14</v>
      </c>
      <c r="G1106" s="2">
        <v>38</v>
      </c>
      <c r="H1106" s="9">
        <v>50</v>
      </c>
    </row>
    <row r="1107" spans="2:8" x14ac:dyDescent="0.25">
      <c r="B1107" s="3">
        <v>44726</v>
      </c>
      <c r="C1107" s="2" t="s">
        <v>11</v>
      </c>
      <c r="D1107" s="2" t="s">
        <v>12</v>
      </c>
      <c r="E1107" s="2" t="s">
        <v>9</v>
      </c>
      <c r="F1107" s="2" t="s">
        <v>14</v>
      </c>
      <c r="G1107" s="2">
        <v>85</v>
      </c>
      <c r="H1107" s="9">
        <v>54</v>
      </c>
    </row>
    <row r="1108" spans="2:8" x14ac:dyDescent="0.25">
      <c r="B1108" s="3">
        <v>44726</v>
      </c>
      <c r="C1108" s="2" t="s">
        <v>27</v>
      </c>
      <c r="D1108" s="2" t="s">
        <v>18</v>
      </c>
      <c r="E1108" s="2" t="s">
        <v>9</v>
      </c>
      <c r="F1108" s="2" t="s">
        <v>14</v>
      </c>
      <c r="G1108" s="2">
        <v>87</v>
      </c>
      <c r="H1108" s="9">
        <v>82</v>
      </c>
    </row>
    <row r="1109" spans="2:8" x14ac:dyDescent="0.25">
      <c r="B1109" s="3">
        <v>44727</v>
      </c>
      <c r="C1109" s="2" t="s">
        <v>20</v>
      </c>
      <c r="D1109" s="2" t="s">
        <v>8</v>
      </c>
      <c r="E1109" s="2" t="s">
        <v>9</v>
      </c>
      <c r="F1109" s="2" t="s">
        <v>14</v>
      </c>
      <c r="G1109" s="2">
        <v>99</v>
      </c>
      <c r="H1109" s="9">
        <v>96</v>
      </c>
    </row>
    <row r="1110" spans="2:8" x14ac:dyDescent="0.25">
      <c r="B1110" s="3">
        <v>44727</v>
      </c>
      <c r="C1110" s="2" t="s">
        <v>20</v>
      </c>
      <c r="D1110" s="2" t="s">
        <v>8</v>
      </c>
      <c r="E1110" s="2" t="s">
        <v>9</v>
      </c>
      <c r="F1110" s="2" t="s">
        <v>16</v>
      </c>
      <c r="G1110" s="2">
        <v>46</v>
      </c>
      <c r="H1110" s="9">
        <v>25</v>
      </c>
    </row>
    <row r="1111" spans="2:8" x14ac:dyDescent="0.25">
      <c r="B1111" s="3">
        <v>44727</v>
      </c>
      <c r="C1111" s="2" t="s">
        <v>11</v>
      </c>
      <c r="D1111" s="2" t="s">
        <v>12</v>
      </c>
      <c r="E1111" s="2" t="s">
        <v>9</v>
      </c>
      <c r="F1111" s="2" t="s">
        <v>16</v>
      </c>
      <c r="G1111" s="2">
        <v>83</v>
      </c>
      <c r="H1111" s="9">
        <v>117</v>
      </c>
    </row>
    <row r="1112" spans="2:8" x14ac:dyDescent="0.25">
      <c r="B1112" s="3">
        <v>44727</v>
      </c>
      <c r="C1112" s="2" t="s">
        <v>17</v>
      </c>
      <c r="D1112" s="2" t="s">
        <v>18</v>
      </c>
      <c r="E1112" s="2" t="s">
        <v>9</v>
      </c>
      <c r="F1112" s="2" t="s">
        <v>16</v>
      </c>
      <c r="G1112" s="2">
        <v>18</v>
      </c>
      <c r="H1112" s="9">
        <v>87</v>
      </c>
    </row>
    <row r="1113" spans="2:8" x14ac:dyDescent="0.25">
      <c r="B1113" s="3">
        <v>44727</v>
      </c>
      <c r="C1113" s="2" t="s">
        <v>22</v>
      </c>
      <c r="D1113" s="2" t="s">
        <v>12</v>
      </c>
      <c r="E1113" s="2" t="s">
        <v>9</v>
      </c>
      <c r="F1113" s="2" t="s">
        <v>16</v>
      </c>
      <c r="G1113" s="2">
        <v>13</v>
      </c>
      <c r="H1113" s="9">
        <v>105</v>
      </c>
    </row>
    <row r="1114" spans="2:8" x14ac:dyDescent="0.25">
      <c r="B1114" s="3">
        <v>44727</v>
      </c>
      <c r="C1114" s="2" t="s">
        <v>11</v>
      </c>
      <c r="D1114" s="2" t="s">
        <v>12</v>
      </c>
      <c r="E1114" s="2" t="s">
        <v>9</v>
      </c>
      <c r="F1114" s="2" t="s">
        <v>16</v>
      </c>
      <c r="G1114" s="2">
        <v>17</v>
      </c>
      <c r="H1114" s="9">
        <v>106</v>
      </c>
    </row>
    <row r="1115" spans="2:8" x14ac:dyDescent="0.25">
      <c r="B1115" s="3">
        <v>44727</v>
      </c>
      <c r="C1115" s="2" t="s">
        <v>23</v>
      </c>
      <c r="D1115" s="2" t="s">
        <v>18</v>
      </c>
      <c r="E1115" s="2" t="s">
        <v>9</v>
      </c>
      <c r="F1115" s="2" t="s">
        <v>14</v>
      </c>
      <c r="G1115" s="2">
        <v>21</v>
      </c>
      <c r="H1115" s="9">
        <v>149</v>
      </c>
    </row>
    <row r="1116" spans="2:8" x14ac:dyDescent="0.25">
      <c r="B1116" s="3">
        <v>44728</v>
      </c>
      <c r="C1116" s="2" t="s">
        <v>23</v>
      </c>
      <c r="D1116" s="2" t="s">
        <v>18</v>
      </c>
      <c r="E1116" s="2" t="s">
        <v>13</v>
      </c>
      <c r="F1116" s="2" t="s">
        <v>14</v>
      </c>
      <c r="G1116" s="2">
        <v>87</v>
      </c>
      <c r="H1116" s="9">
        <v>142</v>
      </c>
    </row>
    <row r="1117" spans="2:8" x14ac:dyDescent="0.25">
      <c r="B1117" s="3">
        <v>44728</v>
      </c>
      <c r="C1117" s="2" t="s">
        <v>23</v>
      </c>
      <c r="D1117" s="2" t="s">
        <v>18</v>
      </c>
      <c r="E1117" s="2" t="s">
        <v>13</v>
      </c>
      <c r="F1117" s="2" t="s">
        <v>16</v>
      </c>
      <c r="G1117" s="2">
        <v>85</v>
      </c>
      <c r="H1117" s="9">
        <v>25</v>
      </c>
    </row>
    <row r="1118" spans="2:8" x14ac:dyDescent="0.25">
      <c r="B1118" s="3">
        <v>44728</v>
      </c>
      <c r="C1118" s="2" t="s">
        <v>23</v>
      </c>
      <c r="D1118" s="2" t="s">
        <v>18</v>
      </c>
      <c r="E1118" s="2" t="s">
        <v>9</v>
      </c>
      <c r="F1118" s="2" t="s">
        <v>14</v>
      </c>
      <c r="G1118" s="2">
        <v>39</v>
      </c>
      <c r="H1118" s="9">
        <v>97</v>
      </c>
    </row>
    <row r="1119" spans="2:8" x14ac:dyDescent="0.25">
      <c r="B1119" s="3">
        <v>44728</v>
      </c>
      <c r="C1119" s="2" t="s">
        <v>15</v>
      </c>
      <c r="D1119" s="2" t="s">
        <v>8</v>
      </c>
      <c r="E1119" s="2" t="s">
        <v>13</v>
      </c>
      <c r="F1119" s="2" t="s">
        <v>16</v>
      </c>
      <c r="G1119" s="2">
        <v>21</v>
      </c>
      <c r="H1119" s="9">
        <v>117</v>
      </c>
    </row>
    <row r="1120" spans="2:8" x14ac:dyDescent="0.25">
      <c r="B1120" s="3">
        <v>44728</v>
      </c>
      <c r="C1120" s="2" t="s">
        <v>25</v>
      </c>
      <c r="D1120" s="2" t="s">
        <v>12</v>
      </c>
      <c r="E1120" s="2" t="s">
        <v>13</v>
      </c>
      <c r="F1120" s="2" t="s">
        <v>16</v>
      </c>
      <c r="G1120" s="2">
        <v>55</v>
      </c>
      <c r="H1120" s="9">
        <v>144</v>
      </c>
    </row>
    <row r="1121" spans="2:8" x14ac:dyDescent="0.25">
      <c r="B1121" s="3">
        <v>44728</v>
      </c>
      <c r="C1121" s="2" t="s">
        <v>7</v>
      </c>
      <c r="D1121" s="2" t="s">
        <v>8</v>
      </c>
      <c r="E1121" s="2" t="s">
        <v>13</v>
      </c>
      <c r="F1121" s="2" t="s">
        <v>10</v>
      </c>
      <c r="G1121" s="2">
        <v>95</v>
      </c>
      <c r="H1121" s="9">
        <v>130</v>
      </c>
    </row>
    <row r="1122" spans="2:8" x14ac:dyDescent="0.25">
      <c r="B1122" s="3">
        <v>44728</v>
      </c>
      <c r="C1122" s="2" t="s">
        <v>19</v>
      </c>
      <c r="D1122" s="2" t="s">
        <v>12</v>
      </c>
      <c r="E1122" s="2" t="s">
        <v>9</v>
      </c>
      <c r="F1122" s="2" t="s">
        <v>16</v>
      </c>
      <c r="G1122" s="2">
        <v>78</v>
      </c>
      <c r="H1122" s="9">
        <v>113</v>
      </c>
    </row>
    <row r="1123" spans="2:8" x14ac:dyDescent="0.25">
      <c r="B1123" s="3">
        <v>44728</v>
      </c>
      <c r="C1123" s="2" t="s">
        <v>24</v>
      </c>
      <c r="D1123" s="2" t="s">
        <v>18</v>
      </c>
      <c r="E1123" s="2" t="s">
        <v>13</v>
      </c>
      <c r="F1123" s="2" t="s">
        <v>16</v>
      </c>
      <c r="G1123" s="2">
        <v>53</v>
      </c>
      <c r="H1123" s="9">
        <v>72</v>
      </c>
    </row>
    <row r="1124" spans="2:8" x14ac:dyDescent="0.25">
      <c r="B1124" s="3">
        <v>44728</v>
      </c>
      <c r="C1124" s="2" t="s">
        <v>15</v>
      </c>
      <c r="D1124" s="2" t="s">
        <v>8</v>
      </c>
      <c r="E1124" s="2" t="s">
        <v>9</v>
      </c>
      <c r="F1124" s="2" t="s">
        <v>10</v>
      </c>
      <c r="G1124" s="2">
        <v>52</v>
      </c>
      <c r="H1124" s="9">
        <v>131</v>
      </c>
    </row>
    <row r="1125" spans="2:8" x14ac:dyDescent="0.25">
      <c r="B1125" s="3">
        <v>44728</v>
      </c>
      <c r="C1125" s="2" t="s">
        <v>21</v>
      </c>
      <c r="D1125" s="2" t="s">
        <v>8</v>
      </c>
      <c r="E1125" s="2" t="s">
        <v>13</v>
      </c>
      <c r="F1125" s="2" t="s">
        <v>16</v>
      </c>
      <c r="G1125" s="2">
        <v>75</v>
      </c>
      <c r="H1125" s="9">
        <v>37</v>
      </c>
    </row>
    <row r="1126" spans="2:8" x14ac:dyDescent="0.25">
      <c r="B1126" s="3">
        <v>44729</v>
      </c>
      <c r="C1126" s="2" t="s">
        <v>17</v>
      </c>
      <c r="D1126" s="2" t="s">
        <v>18</v>
      </c>
      <c r="E1126" s="2" t="s">
        <v>9</v>
      </c>
      <c r="F1126" s="2" t="s">
        <v>16</v>
      </c>
      <c r="G1126" s="2">
        <v>81</v>
      </c>
      <c r="H1126" s="9">
        <v>97</v>
      </c>
    </row>
    <row r="1127" spans="2:8" x14ac:dyDescent="0.25">
      <c r="B1127" s="3">
        <v>44729</v>
      </c>
      <c r="C1127" s="2" t="s">
        <v>7</v>
      </c>
      <c r="D1127" s="2" t="s">
        <v>8</v>
      </c>
      <c r="E1127" s="2" t="s">
        <v>9</v>
      </c>
      <c r="F1127" s="2" t="s">
        <v>14</v>
      </c>
      <c r="G1127" s="2">
        <v>34</v>
      </c>
      <c r="H1127" s="9">
        <v>149</v>
      </c>
    </row>
    <row r="1128" spans="2:8" x14ac:dyDescent="0.25">
      <c r="B1128" s="3">
        <v>44729</v>
      </c>
      <c r="C1128" s="2" t="s">
        <v>15</v>
      </c>
      <c r="D1128" s="2" t="s">
        <v>8</v>
      </c>
      <c r="E1128" s="2" t="s">
        <v>9</v>
      </c>
      <c r="F1128" s="2" t="s">
        <v>14</v>
      </c>
      <c r="G1128" s="2">
        <v>80</v>
      </c>
      <c r="H1128" s="9">
        <v>124</v>
      </c>
    </row>
    <row r="1129" spans="2:8" x14ac:dyDescent="0.25">
      <c r="B1129" s="3">
        <v>44729</v>
      </c>
      <c r="C1129" s="2" t="s">
        <v>19</v>
      </c>
      <c r="D1129" s="2" t="s">
        <v>12</v>
      </c>
      <c r="E1129" s="2" t="s">
        <v>9</v>
      </c>
      <c r="F1129" s="2" t="s">
        <v>14</v>
      </c>
      <c r="G1129" s="2">
        <v>52</v>
      </c>
      <c r="H1129" s="9">
        <v>37</v>
      </c>
    </row>
    <row r="1130" spans="2:8" x14ac:dyDescent="0.25">
      <c r="B1130" s="3">
        <v>44729</v>
      </c>
      <c r="C1130" s="2" t="s">
        <v>23</v>
      </c>
      <c r="D1130" s="2" t="s">
        <v>18</v>
      </c>
      <c r="E1130" s="2" t="s">
        <v>13</v>
      </c>
      <c r="F1130" s="2" t="s">
        <v>16</v>
      </c>
      <c r="G1130" s="2">
        <v>67</v>
      </c>
      <c r="H1130" s="9">
        <v>28</v>
      </c>
    </row>
    <row r="1131" spans="2:8" x14ac:dyDescent="0.25">
      <c r="B1131" s="3">
        <v>44730</v>
      </c>
      <c r="C1131" s="2" t="s">
        <v>22</v>
      </c>
      <c r="D1131" s="2" t="s">
        <v>12</v>
      </c>
      <c r="E1131" s="2" t="s">
        <v>13</v>
      </c>
      <c r="F1131" s="2" t="s">
        <v>10</v>
      </c>
      <c r="G1131" s="2">
        <v>86</v>
      </c>
      <c r="H1131" s="9">
        <v>127</v>
      </c>
    </row>
    <row r="1132" spans="2:8" x14ac:dyDescent="0.25">
      <c r="B1132" s="3">
        <v>44730</v>
      </c>
      <c r="C1132" s="2" t="s">
        <v>21</v>
      </c>
      <c r="D1132" s="2" t="s">
        <v>8</v>
      </c>
      <c r="E1132" s="2" t="s">
        <v>9</v>
      </c>
      <c r="F1132" s="2" t="s">
        <v>14</v>
      </c>
      <c r="G1132" s="2">
        <v>97</v>
      </c>
      <c r="H1132" s="9">
        <v>82</v>
      </c>
    </row>
    <row r="1133" spans="2:8" x14ac:dyDescent="0.25">
      <c r="B1133" s="3">
        <v>44730</v>
      </c>
      <c r="C1133" s="2" t="s">
        <v>15</v>
      </c>
      <c r="D1133" s="2" t="s">
        <v>8</v>
      </c>
      <c r="E1133" s="2" t="s">
        <v>13</v>
      </c>
      <c r="F1133" s="2" t="s">
        <v>16</v>
      </c>
      <c r="G1133" s="2">
        <v>55</v>
      </c>
      <c r="H1133" s="9">
        <v>126</v>
      </c>
    </row>
    <row r="1134" spans="2:8" x14ac:dyDescent="0.25">
      <c r="B1134" s="3">
        <v>44730</v>
      </c>
      <c r="C1134" s="2" t="s">
        <v>15</v>
      </c>
      <c r="D1134" s="2" t="s">
        <v>8</v>
      </c>
      <c r="E1134" s="2" t="s">
        <v>13</v>
      </c>
      <c r="F1134" s="2" t="s">
        <v>14</v>
      </c>
      <c r="G1134" s="2">
        <v>14</v>
      </c>
      <c r="H1134" s="9">
        <v>122</v>
      </c>
    </row>
    <row r="1135" spans="2:8" x14ac:dyDescent="0.25">
      <c r="B1135" s="3">
        <v>44730</v>
      </c>
      <c r="C1135" s="2" t="s">
        <v>29</v>
      </c>
      <c r="D1135" s="2" t="s">
        <v>18</v>
      </c>
      <c r="E1135" s="2" t="s">
        <v>13</v>
      </c>
      <c r="F1135" s="2" t="s">
        <v>10</v>
      </c>
      <c r="G1135" s="2">
        <v>82</v>
      </c>
      <c r="H1135" s="9">
        <v>105</v>
      </c>
    </row>
    <row r="1136" spans="2:8" x14ac:dyDescent="0.25">
      <c r="B1136" s="3">
        <v>44730</v>
      </c>
      <c r="C1136" s="2" t="s">
        <v>25</v>
      </c>
      <c r="D1136" s="2" t="s">
        <v>12</v>
      </c>
      <c r="E1136" s="2" t="s">
        <v>13</v>
      </c>
      <c r="F1136" s="2" t="s">
        <v>16</v>
      </c>
      <c r="G1136" s="2">
        <v>80</v>
      </c>
      <c r="H1136" s="9">
        <v>49</v>
      </c>
    </row>
    <row r="1137" spans="2:8" x14ac:dyDescent="0.25">
      <c r="B1137" s="3">
        <v>44730</v>
      </c>
      <c r="C1137" s="2" t="s">
        <v>19</v>
      </c>
      <c r="D1137" s="2" t="s">
        <v>12</v>
      </c>
      <c r="E1137" s="2" t="s">
        <v>9</v>
      </c>
      <c r="F1137" s="2" t="s">
        <v>14</v>
      </c>
      <c r="G1137" s="2">
        <v>62</v>
      </c>
      <c r="H1137" s="9">
        <v>125</v>
      </c>
    </row>
    <row r="1138" spans="2:8" x14ac:dyDescent="0.25">
      <c r="B1138" s="3">
        <v>44731</v>
      </c>
      <c r="C1138" s="2" t="s">
        <v>20</v>
      </c>
      <c r="D1138" s="2" t="s">
        <v>8</v>
      </c>
      <c r="E1138" s="2" t="s">
        <v>9</v>
      </c>
      <c r="F1138" s="2" t="s">
        <v>14</v>
      </c>
      <c r="G1138" s="2">
        <v>53</v>
      </c>
      <c r="H1138" s="9">
        <v>41</v>
      </c>
    </row>
    <row r="1139" spans="2:8" x14ac:dyDescent="0.25">
      <c r="B1139" s="3">
        <v>44731</v>
      </c>
      <c r="C1139" s="2" t="s">
        <v>24</v>
      </c>
      <c r="D1139" s="2" t="s">
        <v>18</v>
      </c>
      <c r="E1139" s="2" t="s">
        <v>13</v>
      </c>
      <c r="F1139" s="2" t="s">
        <v>16</v>
      </c>
      <c r="G1139" s="2">
        <v>12</v>
      </c>
      <c r="H1139" s="9">
        <v>125</v>
      </c>
    </row>
    <row r="1140" spans="2:8" x14ac:dyDescent="0.25">
      <c r="B1140" s="3">
        <v>44731</v>
      </c>
      <c r="C1140" s="2" t="s">
        <v>17</v>
      </c>
      <c r="D1140" s="2" t="s">
        <v>18</v>
      </c>
      <c r="E1140" s="2" t="s">
        <v>13</v>
      </c>
      <c r="F1140" s="2" t="s">
        <v>10</v>
      </c>
      <c r="G1140" s="2">
        <v>29</v>
      </c>
      <c r="H1140" s="9">
        <v>148</v>
      </c>
    </row>
    <row r="1141" spans="2:8" x14ac:dyDescent="0.25">
      <c r="B1141" s="3">
        <v>44731</v>
      </c>
      <c r="C1141" s="2" t="s">
        <v>27</v>
      </c>
      <c r="D1141" s="2" t="s">
        <v>18</v>
      </c>
      <c r="E1141" s="2" t="s">
        <v>13</v>
      </c>
      <c r="F1141" s="2" t="s">
        <v>14</v>
      </c>
      <c r="G1141" s="2">
        <v>64</v>
      </c>
      <c r="H1141" s="9">
        <v>125</v>
      </c>
    </row>
    <row r="1142" spans="2:8" x14ac:dyDescent="0.25">
      <c r="B1142" s="3">
        <v>44731</v>
      </c>
      <c r="C1142" s="2" t="s">
        <v>11</v>
      </c>
      <c r="D1142" s="2" t="s">
        <v>12</v>
      </c>
      <c r="E1142" s="2" t="s">
        <v>13</v>
      </c>
      <c r="F1142" s="2" t="s">
        <v>10</v>
      </c>
      <c r="G1142" s="2">
        <v>74</v>
      </c>
      <c r="H1142" s="9">
        <v>47</v>
      </c>
    </row>
    <row r="1143" spans="2:8" x14ac:dyDescent="0.25">
      <c r="B1143" s="3">
        <v>44731</v>
      </c>
      <c r="C1143" s="2" t="s">
        <v>28</v>
      </c>
      <c r="D1143" s="2" t="s">
        <v>8</v>
      </c>
      <c r="E1143" s="2" t="s">
        <v>13</v>
      </c>
      <c r="F1143" s="2" t="s">
        <v>16</v>
      </c>
      <c r="G1143" s="2">
        <v>71</v>
      </c>
      <c r="H1143" s="9">
        <v>59</v>
      </c>
    </row>
    <row r="1144" spans="2:8" x14ac:dyDescent="0.25">
      <c r="B1144" s="3">
        <v>44731</v>
      </c>
      <c r="C1144" s="2" t="s">
        <v>28</v>
      </c>
      <c r="D1144" s="2" t="s">
        <v>8</v>
      </c>
      <c r="E1144" s="2" t="s">
        <v>13</v>
      </c>
      <c r="F1144" s="2" t="s">
        <v>10</v>
      </c>
      <c r="G1144" s="2">
        <v>94</v>
      </c>
      <c r="H1144" s="9">
        <v>126</v>
      </c>
    </row>
    <row r="1145" spans="2:8" x14ac:dyDescent="0.25">
      <c r="B1145" s="3">
        <v>44731</v>
      </c>
      <c r="C1145" s="2" t="s">
        <v>17</v>
      </c>
      <c r="D1145" s="2" t="s">
        <v>18</v>
      </c>
      <c r="E1145" s="2" t="s">
        <v>13</v>
      </c>
      <c r="F1145" s="2" t="s">
        <v>10</v>
      </c>
      <c r="G1145" s="2">
        <v>47</v>
      </c>
      <c r="H1145" s="9">
        <v>100</v>
      </c>
    </row>
    <row r="1146" spans="2:8" x14ac:dyDescent="0.25">
      <c r="B1146" s="3">
        <v>44731</v>
      </c>
      <c r="C1146" s="2" t="s">
        <v>17</v>
      </c>
      <c r="D1146" s="2" t="s">
        <v>18</v>
      </c>
      <c r="E1146" s="2" t="s">
        <v>9</v>
      </c>
      <c r="F1146" s="2" t="s">
        <v>10</v>
      </c>
      <c r="G1146" s="2">
        <v>10</v>
      </c>
      <c r="H1146" s="9">
        <v>28</v>
      </c>
    </row>
    <row r="1147" spans="2:8" x14ac:dyDescent="0.25">
      <c r="B1147" s="3">
        <v>44731</v>
      </c>
      <c r="C1147" s="2" t="s">
        <v>23</v>
      </c>
      <c r="D1147" s="2" t="s">
        <v>18</v>
      </c>
      <c r="E1147" s="2" t="s">
        <v>13</v>
      </c>
      <c r="F1147" s="2" t="s">
        <v>16</v>
      </c>
      <c r="G1147" s="2">
        <v>53</v>
      </c>
      <c r="H1147" s="9">
        <v>118</v>
      </c>
    </row>
    <row r="1148" spans="2:8" x14ac:dyDescent="0.25">
      <c r="B1148" s="3">
        <v>44731</v>
      </c>
      <c r="C1148" s="2" t="s">
        <v>11</v>
      </c>
      <c r="D1148" s="2" t="s">
        <v>12</v>
      </c>
      <c r="E1148" s="2" t="s">
        <v>9</v>
      </c>
      <c r="F1148" s="2" t="s">
        <v>10</v>
      </c>
      <c r="G1148" s="2">
        <v>18</v>
      </c>
      <c r="H1148" s="9">
        <v>43</v>
      </c>
    </row>
    <row r="1149" spans="2:8" x14ac:dyDescent="0.25">
      <c r="B1149" s="3">
        <v>44731</v>
      </c>
      <c r="C1149" s="2" t="s">
        <v>23</v>
      </c>
      <c r="D1149" s="2" t="s">
        <v>18</v>
      </c>
      <c r="E1149" s="2" t="s">
        <v>9</v>
      </c>
      <c r="F1149" s="2" t="s">
        <v>14</v>
      </c>
      <c r="G1149" s="2">
        <v>31</v>
      </c>
      <c r="H1149" s="9">
        <v>41</v>
      </c>
    </row>
    <row r="1150" spans="2:8" x14ac:dyDescent="0.25">
      <c r="B1150" s="3">
        <v>44732</v>
      </c>
      <c r="C1150" s="2" t="s">
        <v>28</v>
      </c>
      <c r="D1150" s="2" t="s">
        <v>8</v>
      </c>
      <c r="E1150" s="2" t="s">
        <v>13</v>
      </c>
      <c r="F1150" s="2" t="s">
        <v>16</v>
      </c>
      <c r="G1150" s="2">
        <v>62</v>
      </c>
      <c r="H1150" s="9">
        <v>107</v>
      </c>
    </row>
    <row r="1151" spans="2:8" x14ac:dyDescent="0.25">
      <c r="B1151" s="3">
        <v>44732</v>
      </c>
      <c r="C1151" s="2" t="s">
        <v>21</v>
      </c>
      <c r="D1151" s="2" t="s">
        <v>8</v>
      </c>
      <c r="E1151" s="2" t="s">
        <v>9</v>
      </c>
      <c r="F1151" s="2" t="s">
        <v>14</v>
      </c>
      <c r="G1151" s="2">
        <v>23</v>
      </c>
      <c r="H1151" s="9">
        <v>32</v>
      </c>
    </row>
    <row r="1152" spans="2:8" x14ac:dyDescent="0.25">
      <c r="B1152" s="3">
        <v>44732</v>
      </c>
      <c r="C1152" s="2" t="s">
        <v>15</v>
      </c>
      <c r="D1152" s="2" t="s">
        <v>8</v>
      </c>
      <c r="E1152" s="2" t="s">
        <v>13</v>
      </c>
      <c r="F1152" s="2" t="s">
        <v>16</v>
      </c>
      <c r="G1152" s="2">
        <v>55</v>
      </c>
      <c r="H1152" s="9">
        <v>90</v>
      </c>
    </row>
    <row r="1153" spans="2:8" x14ac:dyDescent="0.25">
      <c r="B1153" s="3">
        <v>44732</v>
      </c>
      <c r="C1153" s="2" t="s">
        <v>27</v>
      </c>
      <c r="D1153" s="2" t="s">
        <v>18</v>
      </c>
      <c r="E1153" s="2" t="s">
        <v>9</v>
      </c>
      <c r="F1153" s="2" t="s">
        <v>14</v>
      </c>
      <c r="G1153" s="2">
        <v>98</v>
      </c>
      <c r="H1153" s="9">
        <v>35</v>
      </c>
    </row>
    <row r="1154" spans="2:8" x14ac:dyDescent="0.25">
      <c r="B1154" s="3">
        <v>44732</v>
      </c>
      <c r="C1154" s="2" t="s">
        <v>24</v>
      </c>
      <c r="D1154" s="2" t="s">
        <v>18</v>
      </c>
      <c r="E1154" s="2" t="s">
        <v>9</v>
      </c>
      <c r="F1154" s="2" t="s">
        <v>14</v>
      </c>
      <c r="G1154" s="2">
        <v>93</v>
      </c>
      <c r="H1154" s="9">
        <v>97</v>
      </c>
    </row>
    <row r="1155" spans="2:8" x14ac:dyDescent="0.25">
      <c r="B1155" s="3">
        <v>44732</v>
      </c>
      <c r="C1155" s="2" t="s">
        <v>17</v>
      </c>
      <c r="D1155" s="2" t="s">
        <v>18</v>
      </c>
      <c r="E1155" s="2" t="s">
        <v>9</v>
      </c>
      <c r="F1155" s="2" t="s">
        <v>14</v>
      </c>
      <c r="G1155" s="2">
        <v>53</v>
      </c>
      <c r="H1155" s="9">
        <v>138</v>
      </c>
    </row>
    <row r="1156" spans="2:8" x14ac:dyDescent="0.25">
      <c r="B1156" s="3">
        <v>44732</v>
      </c>
      <c r="C1156" s="2" t="s">
        <v>26</v>
      </c>
      <c r="D1156" s="2" t="s">
        <v>12</v>
      </c>
      <c r="E1156" s="2" t="s">
        <v>13</v>
      </c>
      <c r="F1156" s="2" t="s">
        <v>14</v>
      </c>
      <c r="G1156" s="2">
        <v>26</v>
      </c>
      <c r="H1156" s="9">
        <v>68</v>
      </c>
    </row>
    <row r="1157" spans="2:8" x14ac:dyDescent="0.25">
      <c r="B1157" s="3">
        <v>44733</v>
      </c>
      <c r="C1157" s="2" t="s">
        <v>21</v>
      </c>
      <c r="D1157" s="2" t="s">
        <v>8</v>
      </c>
      <c r="E1157" s="2" t="s">
        <v>9</v>
      </c>
      <c r="F1157" s="2" t="s">
        <v>16</v>
      </c>
      <c r="G1157" s="2">
        <v>73</v>
      </c>
      <c r="H1157" s="9">
        <v>99</v>
      </c>
    </row>
    <row r="1158" spans="2:8" x14ac:dyDescent="0.25">
      <c r="B1158" s="3">
        <v>44733</v>
      </c>
      <c r="C1158" s="2" t="s">
        <v>19</v>
      </c>
      <c r="D1158" s="2" t="s">
        <v>12</v>
      </c>
      <c r="E1158" s="2" t="s">
        <v>9</v>
      </c>
      <c r="F1158" s="2" t="s">
        <v>10</v>
      </c>
      <c r="G1158" s="2">
        <v>52</v>
      </c>
      <c r="H1158" s="9">
        <v>25</v>
      </c>
    </row>
    <row r="1159" spans="2:8" x14ac:dyDescent="0.25">
      <c r="B1159" s="3">
        <v>44733</v>
      </c>
      <c r="C1159" s="2" t="s">
        <v>24</v>
      </c>
      <c r="D1159" s="2" t="s">
        <v>18</v>
      </c>
      <c r="E1159" s="2" t="s">
        <v>13</v>
      </c>
      <c r="F1159" s="2" t="s">
        <v>10</v>
      </c>
      <c r="G1159" s="2">
        <v>43</v>
      </c>
      <c r="H1159" s="9">
        <v>148</v>
      </c>
    </row>
    <row r="1160" spans="2:8" x14ac:dyDescent="0.25">
      <c r="B1160" s="3">
        <v>44733</v>
      </c>
      <c r="C1160" s="2" t="s">
        <v>25</v>
      </c>
      <c r="D1160" s="2" t="s">
        <v>12</v>
      </c>
      <c r="E1160" s="2" t="s">
        <v>13</v>
      </c>
      <c r="F1160" s="2" t="s">
        <v>14</v>
      </c>
      <c r="G1160" s="2">
        <v>82</v>
      </c>
      <c r="H1160" s="9">
        <v>88</v>
      </c>
    </row>
    <row r="1161" spans="2:8" x14ac:dyDescent="0.25">
      <c r="B1161" s="3">
        <v>44733</v>
      </c>
      <c r="C1161" s="2" t="s">
        <v>28</v>
      </c>
      <c r="D1161" s="2" t="s">
        <v>8</v>
      </c>
      <c r="E1161" s="2" t="s">
        <v>13</v>
      </c>
      <c r="F1161" s="2" t="s">
        <v>16</v>
      </c>
      <c r="G1161" s="2">
        <v>40</v>
      </c>
      <c r="H1161" s="9">
        <v>73</v>
      </c>
    </row>
    <row r="1162" spans="2:8" x14ac:dyDescent="0.25">
      <c r="B1162" s="3">
        <v>44733</v>
      </c>
      <c r="C1162" s="2" t="s">
        <v>7</v>
      </c>
      <c r="D1162" s="2" t="s">
        <v>8</v>
      </c>
      <c r="E1162" s="2" t="s">
        <v>9</v>
      </c>
      <c r="F1162" s="2" t="s">
        <v>10</v>
      </c>
      <c r="G1162" s="2">
        <v>51</v>
      </c>
      <c r="H1162" s="9">
        <v>140</v>
      </c>
    </row>
    <row r="1163" spans="2:8" x14ac:dyDescent="0.25">
      <c r="B1163" s="3">
        <v>44733</v>
      </c>
      <c r="C1163" s="2" t="s">
        <v>25</v>
      </c>
      <c r="D1163" s="2" t="s">
        <v>12</v>
      </c>
      <c r="E1163" s="2" t="s">
        <v>13</v>
      </c>
      <c r="F1163" s="2" t="s">
        <v>10</v>
      </c>
      <c r="G1163" s="2">
        <v>23</v>
      </c>
      <c r="H1163" s="9">
        <v>136</v>
      </c>
    </row>
    <row r="1164" spans="2:8" x14ac:dyDescent="0.25">
      <c r="B1164" s="3">
        <v>44733</v>
      </c>
      <c r="C1164" s="2" t="s">
        <v>20</v>
      </c>
      <c r="D1164" s="2" t="s">
        <v>8</v>
      </c>
      <c r="E1164" s="2" t="s">
        <v>13</v>
      </c>
      <c r="F1164" s="2" t="s">
        <v>14</v>
      </c>
      <c r="G1164" s="2">
        <v>39</v>
      </c>
      <c r="H1164" s="9">
        <v>44</v>
      </c>
    </row>
    <row r="1165" spans="2:8" x14ac:dyDescent="0.25">
      <c r="B1165" s="3">
        <v>44733</v>
      </c>
      <c r="C1165" s="2" t="s">
        <v>24</v>
      </c>
      <c r="D1165" s="2" t="s">
        <v>18</v>
      </c>
      <c r="E1165" s="2" t="s">
        <v>13</v>
      </c>
      <c r="F1165" s="2" t="s">
        <v>10</v>
      </c>
      <c r="G1165" s="2">
        <v>95</v>
      </c>
      <c r="H1165" s="9">
        <v>116</v>
      </c>
    </row>
    <row r="1166" spans="2:8" x14ac:dyDescent="0.25">
      <c r="B1166" s="3">
        <v>44733</v>
      </c>
      <c r="C1166" s="2" t="s">
        <v>26</v>
      </c>
      <c r="D1166" s="2" t="s">
        <v>12</v>
      </c>
      <c r="E1166" s="2" t="s">
        <v>13</v>
      </c>
      <c r="F1166" s="2" t="s">
        <v>16</v>
      </c>
      <c r="G1166" s="2">
        <v>19</v>
      </c>
      <c r="H1166" s="9">
        <v>98</v>
      </c>
    </row>
    <row r="1167" spans="2:8" x14ac:dyDescent="0.25">
      <c r="B1167" s="3">
        <v>44734</v>
      </c>
      <c r="C1167" s="2" t="s">
        <v>27</v>
      </c>
      <c r="D1167" s="2" t="s">
        <v>18</v>
      </c>
      <c r="E1167" s="2" t="s">
        <v>13</v>
      </c>
      <c r="F1167" s="2" t="s">
        <v>14</v>
      </c>
      <c r="G1167" s="2">
        <v>27</v>
      </c>
      <c r="H1167" s="9">
        <v>23</v>
      </c>
    </row>
    <row r="1168" spans="2:8" x14ac:dyDescent="0.25">
      <c r="B1168" s="3">
        <v>44734</v>
      </c>
      <c r="C1168" s="2" t="s">
        <v>19</v>
      </c>
      <c r="D1168" s="2" t="s">
        <v>12</v>
      </c>
      <c r="E1168" s="2" t="s">
        <v>13</v>
      </c>
      <c r="F1168" s="2" t="s">
        <v>10</v>
      </c>
      <c r="G1168" s="2">
        <v>80</v>
      </c>
      <c r="H1168" s="9">
        <v>43</v>
      </c>
    </row>
    <row r="1169" spans="2:8" x14ac:dyDescent="0.25">
      <c r="B1169" s="3">
        <v>44734</v>
      </c>
      <c r="C1169" s="2" t="s">
        <v>17</v>
      </c>
      <c r="D1169" s="2" t="s">
        <v>18</v>
      </c>
      <c r="E1169" s="2" t="s">
        <v>9</v>
      </c>
      <c r="F1169" s="2" t="s">
        <v>14</v>
      </c>
      <c r="G1169" s="2">
        <v>66</v>
      </c>
      <c r="H1169" s="9">
        <v>20</v>
      </c>
    </row>
    <row r="1170" spans="2:8" x14ac:dyDescent="0.25">
      <c r="B1170" s="3">
        <v>44734</v>
      </c>
      <c r="C1170" s="2" t="s">
        <v>20</v>
      </c>
      <c r="D1170" s="2" t="s">
        <v>8</v>
      </c>
      <c r="E1170" s="2" t="s">
        <v>13</v>
      </c>
      <c r="F1170" s="2" t="s">
        <v>14</v>
      </c>
      <c r="G1170" s="2">
        <v>56</v>
      </c>
      <c r="H1170" s="9">
        <v>96</v>
      </c>
    </row>
    <row r="1171" spans="2:8" x14ac:dyDescent="0.25">
      <c r="B1171" s="3">
        <v>44734</v>
      </c>
      <c r="C1171" s="2" t="s">
        <v>23</v>
      </c>
      <c r="D1171" s="2" t="s">
        <v>18</v>
      </c>
      <c r="E1171" s="2" t="s">
        <v>13</v>
      </c>
      <c r="F1171" s="2" t="s">
        <v>14</v>
      </c>
      <c r="G1171" s="2">
        <v>74</v>
      </c>
      <c r="H1171" s="9">
        <v>56</v>
      </c>
    </row>
    <row r="1172" spans="2:8" x14ac:dyDescent="0.25">
      <c r="B1172" s="3">
        <v>44735</v>
      </c>
      <c r="C1172" s="2" t="s">
        <v>20</v>
      </c>
      <c r="D1172" s="2" t="s">
        <v>8</v>
      </c>
      <c r="E1172" s="2" t="s">
        <v>13</v>
      </c>
      <c r="F1172" s="2" t="s">
        <v>10</v>
      </c>
      <c r="G1172" s="2">
        <v>19</v>
      </c>
      <c r="H1172" s="9">
        <v>46</v>
      </c>
    </row>
    <row r="1173" spans="2:8" x14ac:dyDescent="0.25">
      <c r="B1173" s="3">
        <v>44735</v>
      </c>
      <c r="C1173" s="2" t="s">
        <v>15</v>
      </c>
      <c r="D1173" s="2" t="s">
        <v>8</v>
      </c>
      <c r="E1173" s="2" t="s">
        <v>13</v>
      </c>
      <c r="F1173" s="2" t="s">
        <v>10</v>
      </c>
      <c r="G1173" s="2">
        <v>80</v>
      </c>
      <c r="H1173" s="9">
        <v>55</v>
      </c>
    </row>
    <row r="1174" spans="2:8" x14ac:dyDescent="0.25">
      <c r="B1174" s="3">
        <v>44735</v>
      </c>
      <c r="C1174" s="2" t="s">
        <v>25</v>
      </c>
      <c r="D1174" s="2" t="s">
        <v>12</v>
      </c>
      <c r="E1174" s="2" t="s">
        <v>9</v>
      </c>
      <c r="F1174" s="2" t="s">
        <v>10</v>
      </c>
      <c r="G1174" s="2">
        <v>32</v>
      </c>
      <c r="H1174" s="9">
        <v>108</v>
      </c>
    </row>
    <row r="1175" spans="2:8" x14ac:dyDescent="0.25">
      <c r="B1175" s="3">
        <v>44735</v>
      </c>
      <c r="C1175" s="2" t="s">
        <v>7</v>
      </c>
      <c r="D1175" s="2" t="s">
        <v>8</v>
      </c>
      <c r="E1175" s="2" t="s">
        <v>9</v>
      </c>
      <c r="F1175" s="2" t="s">
        <v>16</v>
      </c>
      <c r="G1175" s="2">
        <v>70</v>
      </c>
      <c r="H1175" s="9">
        <v>70</v>
      </c>
    </row>
    <row r="1176" spans="2:8" x14ac:dyDescent="0.25">
      <c r="B1176" s="3">
        <v>44735</v>
      </c>
      <c r="C1176" s="2" t="s">
        <v>11</v>
      </c>
      <c r="D1176" s="2" t="s">
        <v>12</v>
      </c>
      <c r="E1176" s="2" t="s">
        <v>9</v>
      </c>
      <c r="F1176" s="2" t="s">
        <v>10</v>
      </c>
      <c r="G1176" s="2">
        <v>19</v>
      </c>
      <c r="H1176" s="9">
        <v>143</v>
      </c>
    </row>
    <row r="1177" spans="2:8" x14ac:dyDescent="0.25">
      <c r="B1177" s="3">
        <v>44735</v>
      </c>
      <c r="C1177" s="2" t="s">
        <v>19</v>
      </c>
      <c r="D1177" s="2" t="s">
        <v>12</v>
      </c>
      <c r="E1177" s="2" t="s">
        <v>9</v>
      </c>
      <c r="F1177" s="2" t="s">
        <v>10</v>
      </c>
      <c r="G1177" s="2">
        <v>41</v>
      </c>
      <c r="H1177" s="9">
        <v>90</v>
      </c>
    </row>
    <row r="1178" spans="2:8" x14ac:dyDescent="0.25">
      <c r="B1178" s="3">
        <v>44735</v>
      </c>
      <c r="C1178" s="2" t="s">
        <v>22</v>
      </c>
      <c r="D1178" s="2" t="s">
        <v>12</v>
      </c>
      <c r="E1178" s="2" t="s">
        <v>9</v>
      </c>
      <c r="F1178" s="2" t="s">
        <v>10</v>
      </c>
      <c r="G1178" s="2">
        <v>19</v>
      </c>
      <c r="H1178" s="9">
        <v>29</v>
      </c>
    </row>
    <row r="1179" spans="2:8" x14ac:dyDescent="0.25">
      <c r="B1179" s="3">
        <v>44735</v>
      </c>
      <c r="C1179" s="2" t="s">
        <v>19</v>
      </c>
      <c r="D1179" s="2" t="s">
        <v>12</v>
      </c>
      <c r="E1179" s="2" t="s">
        <v>9</v>
      </c>
      <c r="F1179" s="2" t="s">
        <v>10</v>
      </c>
      <c r="G1179" s="2">
        <v>32</v>
      </c>
      <c r="H1179" s="9">
        <v>43</v>
      </c>
    </row>
    <row r="1180" spans="2:8" x14ac:dyDescent="0.25">
      <c r="B1180" s="3">
        <v>44735</v>
      </c>
      <c r="C1180" s="2" t="s">
        <v>29</v>
      </c>
      <c r="D1180" s="2" t="s">
        <v>18</v>
      </c>
      <c r="E1180" s="2" t="s">
        <v>13</v>
      </c>
      <c r="F1180" s="2" t="s">
        <v>16</v>
      </c>
      <c r="G1180" s="2">
        <v>86</v>
      </c>
      <c r="H1180" s="9">
        <v>110</v>
      </c>
    </row>
    <row r="1181" spans="2:8" x14ac:dyDescent="0.25">
      <c r="B1181" s="3">
        <v>44735</v>
      </c>
      <c r="C1181" s="2" t="s">
        <v>15</v>
      </c>
      <c r="D1181" s="2" t="s">
        <v>8</v>
      </c>
      <c r="E1181" s="2" t="s">
        <v>9</v>
      </c>
      <c r="F1181" s="2" t="s">
        <v>16</v>
      </c>
      <c r="G1181" s="2">
        <v>70</v>
      </c>
      <c r="H1181" s="9">
        <v>125</v>
      </c>
    </row>
    <row r="1182" spans="2:8" x14ac:dyDescent="0.25">
      <c r="B1182" s="3">
        <v>44735</v>
      </c>
      <c r="C1182" s="2" t="s">
        <v>25</v>
      </c>
      <c r="D1182" s="2" t="s">
        <v>12</v>
      </c>
      <c r="E1182" s="2" t="s">
        <v>9</v>
      </c>
      <c r="F1182" s="2" t="s">
        <v>14</v>
      </c>
      <c r="G1182" s="2">
        <v>39</v>
      </c>
      <c r="H1182" s="9">
        <v>71</v>
      </c>
    </row>
    <row r="1183" spans="2:8" x14ac:dyDescent="0.25">
      <c r="B1183" s="3">
        <v>44735</v>
      </c>
      <c r="C1183" s="2" t="s">
        <v>17</v>
      </c>
      <c r="D1183" s="2" t="s">
        <v>18</v>
      </c>
      <c r="E1183" s="2" t="s">
        <v>9</v>
      </c>
      <c r="F1183" s="2" t="s">
        <v>14</v>
      </c>
      <c r="G1183" s="2">
        <v>62</v>
      </c>
      <c r="H1183" s="9">
        <v>41</v>
      </c>
    </row>
    <row r="1184" spans="2:8" x14ac:dyDescent="0.25">
      <c r="B1184" s="3">
        <v>44736</v>
      </c>
      <c r="C1184" s="2" t="s">
        <v>11</v>
      </c>
      <c r="D1184" s="2" t="s">
        <v>12</v>
      </c>
      <c r="E1184" s="2" t="s">
        <v>13</v>
      </c>
      <c r="F1184" s="2" t="s">
        <v>14</v>
      </c>
      <c r="G1184" s="2">
        <v>72</v>
      </c>
      <c r="H1184" s="9">
        <v>52</v>
      </c>
    </row>
    <row r="1185" spans="2:8" x14ac:dyDescent="0.25">
      <c r="B1185" s="3">
        <v>44736</v>
      </c>
      <c r="C1185" s="2" t="s">
        <v>22</v>
      </c>
      <c r="D1185" s="2" t="s">
        <v>12</v>
      </c>
      <c r="E1185" s="2" t="s">
        <v>9</v>
      </c>
      <c r="F1185" s="2" t="s">
        <v>14</v>
      </c>
      <c r="G1185" s="2">
        <v>88</v>
      </c>
      <c r="H1185" s="9">
        <v>34</v>
      </c>
    </row>
    <row r="1186" spans="2:8" x14ac:dyDescent="0.25">
      <c r="B1186" s="3">
        <v>44736</v>
      </c>
      <c r="C1186" s="2" t="s">
        <v>22</v>
      </c>
      <c r="D1186" s="2" t="s">
        <v>12</v>
      </c>
      <c r="E1186" s="2" t="s">
        <v>13</v>
      </c>
      <c r="F1186" s="2" t="s">
        <v>16</v>
      </c>
      <c r="G1186" s="2">
        <v>89</v>
      </c>
      <c r="H1186" s="9">
        <v>129</v>
      </c>
    </row>
    <row r="1187" spans="2:8" x14ac:dyDescent="0.25">
      <c r="B1187" s="3">
        <v>44736</v>
      </c>
      <c r="C1187" s="2" t="s">
        <v>29</v>
      </c>
      <c r="D1187" s="2" t="s">
        <v>18</v>
      </c>
      <c r="E1187" s="2" t="s">
        <v>13</v>
      </c>
      <c r="F1187" s="2" t="s">
        <v>14</v>
      </c>
      <c r="G1187" s="2">
        <v>76</v>
      </c>
      <c r="H1187" s="9">
        <v>102</v>
      </c>
    </row>
    <row r="1188" spans="2:8" x14ac:dyDescent="0.25">
      <c r="B1188" s="3">
        <v>44736</v>
      </c>
      <c r="C1188" s="2" t="s">
        <v>28</v>
      </c>
      <c r="D1188" s="2" t="s">
        <v>8</v>
      </c>
      <c r="E1188" s="2" t="s">
        <v>9</v>
      </c>
      <c r="F1188" s="2" t="s">
        <v>16</v>
      </c>
      <c r="G1188" s="2">
        <v>92</v>
      </c>
      <c r="H1188" s="9">
        <v>116</v>
      </c>
    </row>
    <row r="1189" spans="2:8" x14ac:dyDescent="0.25">
      <c r="B1189" s="3">
        <v>44737</v>
      </c>
      <c r="C1189" s="2" t="s">
        <v>17</v>
      </c>
      <c r="D1189" s="2" t="s">
        <v>18</v>
      </c>
      <c r="E1189" s="2" t="s">
        <v>13</v>
      </c>
      <c r="F1189" s="2" t="s">
        <v>16</v>
      </c>
      <c r="G1189" s="2">
        <v>87</v>
      </c>
      <c r="H1189" s="9">
        <v>113</v>
      </c>
    </row>
    <row r="1190" spans="2:8" x14ac:dyDescent="0.25">
      <c r="B1190" s="3">
        <v>44737</v>
      </c>
      <c r="C1190" s="2" t="s">
        <v>26</v>
      </c>
      <c r="D1190" s="2" t="s">
        <v>12</v>
      </c>
      <c r="E1190" s="2" t="s">
        <v>9</v>
      </c>
      <c r="F1190" s="2" t="s">
        <v>10</v>
      </c>
      <c r="G1190" s="2">
        <v>20</v>
      </c>
      <c r="H1190" s="9">
        <v>35</v>
      </c>
    </row>
    <row r="1191" spans="2:8" x14ac:dyDescent="0.25">
      <c r="B1191" s="3">
        <v>44737</v>
      </c>
      <c r="C1191" s="2" t="s">
        <v>7</v>
      </c>
      <c r="D1191" s="2" t="s">
        <v>8</v>
      </c>
      <c r="E1191" s="2" t="s">
        <v>9</v>
      </c>
      <c r="F1191" s="2" t="s">
        <v>10</v>
      </c>
      <c r="G1191" s="2">
        <v>25</v>
      </c>
      <c r="H1191" s="9">
        <v>125</v>
      </c>
    </row>
    <row r="1192" spans="2:8" x14ac:dyDescent="0.25">
      <c r="B1192" s="3">
        <v>44737</v>
      </c>
      <c r="C1192" s="2" t="s">
        <v>29</v>
      </c>
      <c r="D1192" s="2" t="s">
        <v>18</v>
      </c>
      <c r="E1192" s="2" t="s">
        <v>13</v>
      </c>
      <c r="F1192" s="2" t="s">
        <v>14</v>
      </c>
      <c r="G1192" s="2">
        <v>90</v>
      </c>
      <c r="H1192" s="9">
        <v>65</v>
      </c>
    </row>
    <row r="1193" spans="2:8" x14ac:dyDescent="0.25">
      <c r="B1193" s="3">
        <v>44737</v>
      </c>
      <c r="C1193" s="2" t="s">
        <v>21</v>
      </c>
      <c r="D1193" s="2" t="s">
        <v>8</v>
      </c>
      <c r="E1193" s="2" t="s">
        <v>9</v>
      </c>
      <c r="F1193" s="2" t="s">
        <v>10</v>
      </c>
      <c r="G1193" s="2">
        <v>100</v>
      </c>
      <c r="H1193" s="9">
        <v>106</v>
      </c>
    </row>
    <row r="1194" spans="2:8" x14ac:dyDescent="0.25">
      <c r="B1194" s="3">
        <v>44738</v>
      </c>
      <c r="C1194" s="2" t="s">
        <v>24</v>
      </c>
      <c r="D1194" s="2" t="s">
        <v>18</v>
      </c>
      <c r="E1194" s="2" t="s">
        <v>9</v>
      </c>
      <c r="F1194" s="2" t="s">
        <v>16</v>
      </c>
      <c r="G1194" s="2">
        <v>33</v>
      </c>
      <c r="H1194" s="9">
        <v>95</v>
      </c>
    </row>
    <row r="1195" spans="2:8" x14ac:dyDescent="0.25">
      <c r="B1195" s="3">
        <v>44738</v>
      </c>
      <c r="C1195" s="2" t="s">
        <v>20</v>
      </c>
      <c r="D1195" s="2" t="s">
        <v>8</v>
      </c>
      <c r="E1195" s="2" t="s">
        <v>13</v>
      </c>
      <c r="F1195" s="2" t="s">
        <v>14</v>
      </c>
      <c r="G1195" s="2">
        <v>28</v>
      </c>
      <c r="H1195" s="9">
        <v>108</v>
      </c>
    </row>
    <row r="1196" spans="2:8" x14ac:dyDescent="0.25">
      <c r="B1196" s="3">
        <v>44738</v>
      </c>
      <c r="C1196" s="2" t="s">
        <v>24</v>
      </c>
      <c r="D1196" s="2" t="s">
        <v>18</v>
      </c>
      <c r="E1196" s="2" t="s">
        <v>13</v>
      </c>
      <c r="F1196" s="2" t="s">
        <v>16</v>
      </c>
      <c r="G1196" s="2">
        <v>42</v>
      </c>
      <c r="H1196" s="9">
        <v>143</v>
      </c>
    </row>
    <row r="1197" spans="2:8" x14ac:dyDescent="0.25">
      <c r="B1197" s="3">
        <v>44738</v>
      </c>
      <c r="C1197" s="2" t="s">
        <v>11</v>
      </c>
      <c r="D1197" s="2" t="s">
        <v>12</v>
      </c>
      <c r="E1197" s="2" t="s">
        <v>13</v>
      </c>
      <c r="F1197" s="2" t="s">
        <v>16</v>
      </c>
      <c r="G1197" s="2">
        <v>72</v>
      </c>
      <c r="H1197" s="9">
        <v>43</v>
      </c>
    </row>
    <row r="1198" spans="2:8" x14ac:dyDescent="0.25">
      <c r="B1198" s="3">
        <v>44739</v>
      </c>
      <c r="C1198" s="2" t="s">
        <v>24</v>
      </c>
      <c r="D1198" s="2" t="s">
        <v>18</v>
      </c>
      <c r="E1198" s="2" t="s">
        <v>9</v>
      </c>
      <c r="F1198" s="2" t="s">
        <v>16</v>
      </c>
      <c r="G1198" s="2">
        <v>67</v>
      </c>
      <c r="H1198" s="9">
        <v>52</v>
      </c>
    </row>
    <row r="1199" spans="2:8" x14ac:dyDescent="0.25">
      <c r="B1199" s="3">
        <v>44739</v>
      </c>
      <c r="C1199" s="2" t="s">
        <v>7</v>
      </c>
      <c r="D1199" s="2" t="s">
        <v>8</v>
      </c>
      <c r="E1199" s="2" t="s">
        <v>13</v>
      </c>
      <c r="F1199" s="2" t="s">
        <v>14</v>
      </c>
      <c r="G1199" s="2">
        <v>28</v>
      </c>
      <c r="H1199" s="9">
        <v>89</v>
      </c>
    </row>
    <row r="1200" spans="2:8" x14ac:dyDescent="0.25">
      <c r="B1200" s="3">
        <v>44739</v>
      </c>
      <c r="C1200" s="2" t="s">
        <v>7</v>
      </c>
      <c r="D1200" s="2" t="s">
        <v>8</v>
      </c>
      <c r="E1200" s="2" t="s">
        <v>13</v>
      </c>
      <c r="F1200" s="2" t="s">
        <v>10</v>
      </c>
      <c r="G1200" s="2">
        <v>39</v>
      </c>
      <c r="H1200" s="9">
        <v>141</v>
      </c>
    </row>
    <row r="1201" spans="2:8" x14ac:dyDescent="0.25">
      <c r="B1201" s="3">
        <v>44739</v>
      </c>
      <c r="C1201" s="2" t="s">
        <v>28</v>
      </c>
      <c r="D1201" s="2" t="s">
        <v>8</v>
      </c>
      <c r="E1201" s="2" t="s">
        <v>9</v>
      </c>
      <c r="F1201" s="2" t="s">
        <v>16</v>
      </c>
      <c r="G1201" s="2">
        <v>58</v>
      </c>
      <c r="H1201" s="9">
        <v>88</v>
      </c>
    </row>
    <row r="1202" spans="2:8" x14ac:dyDescent="0.25">
      <c r="B1202" s="3">
        <v>44739</v>
      </c>
      <c r="C1202" s="2" t="s">
        <v>19</v>
      </c>
      <c r="D1202" s="2" t="s">
        <v>12</v>
      </c>
      <c r="E1202" s="2" t="s">
        <v>13</v>
      </c>
      <c r="F1202" s="2" t="s">
        <v>14</v>
      </c>
      <c r="G1202" s="2">
        <v>91</v>
      </c>
      <c r="H1202" s="9">
        <v>28</v>
      </c>
    </row>
    <row r="1203" spans="2:8" x14ac:dyDescent="0.25">
      <c r="B1203" s="3">
        <v>44740</v>
      </c>
      <c r="C1203" s="2" t="s">
        <v>27</v>
      </c>
      <c r="D1203" s="2" t="s">
        <v>18</v>
      </c>
      <c r="E1203" s="2" t="s">
        <v>13</v>
      </c>
      <c r="F1203" s="2" t="s">
        <v>16</v>
      </c>
      <c r="G1203" s="2">
        <v>31</v>
      </c>
      <c r="H1203" s="9">
        <v>105</v>
      </c>
    </row>
    <row r="1204" spans="2:8" x14ac:dyDescent="0.25">
      <c r="B1204" s="3">
        <v>44740</v>
      </c>
      <c r="C1204" s="2" t="s">
        <v>7</v>
      </c>
      <c r="D1204" s="2" t="s">
        <v>8</v>
      </c>
      <c r="E1204" s="2" t="s">
        <v>9</v>
      </c>
      <c r="F1204" s="2" t="s">
        <v>10</v>
      </c>
      <c r="G1204" s="2">
        <v>24</v>
      </c>
      <c r="H1204" s="9">
        <v>93</v>
      </c>
    </row>
    <row r="1205" spans="2:8" x14ac:dyDescent="0.25">
      <c r="B1205" s="3">
        <v>44740</v>
      </c>
      <c r="C1205" s="2" t="s">
        <v>27</v>
      </c>
      <c r="D1205" s="2" t="s">
        <v>18</v>
      </c>
      <c r="E1205" s="2" t="s">
        <v>13</v>
      </c>
      <c r="F1205" s="2" t="s">
        <v>16</v>
      </c>
      <c r="G1205" s="2">
        <v>35</v>
      </c>
      <c r="H1205" s="9">
        <v>71</v>
      </c>
    </row>
    <row r="1206" spans="2:8" x14ac:dyDescent="0.25">
      <c r="B1206" s="3">
        <v>44740</v>
      </c>
      <c r="C1206" s="2" t="s">
        <v>21</v>
      </c>
      <c r="D1206" s="2" t="s">
        <v>8</v>
      </c>
      <c r="E1206" s="2" t="s">
        <v>13</v>
      </c>
      <c r="F1206" s="2" t="s">
        <v>10</v>
      </c>
      <c r="G1206" s="2">
        <v>45</v>
      </c>
      <c r="H1206" s="9">
        <v>120</v>
      </c>
    </row>
    <row r="1207" spans="2:8" x14ac:dyDescent="0.25">
      <c r="B1207" s="3">
        <v>44740</v>
      </c>
      <c r="C1207" s="2" t="s">
        <v>15</v>
      </c>
      <c r="D1207" s="2" t="s">
        <v>8</v>
      </c>
      <c r="E1207" s="2" t="s">
        <v>9</v>
      </c>
      <c r="F1207" s="2" t="s">
        <v>14</v>
      </c>
      <c r="G1207" s="2">
        <v>53</v>
      </c>
      <c r="H1207" s="9">
        <v>143</v>
      </c>
    </row>
    <row r="1208" spans="2:8" x14ac:dyDescent="0.25">
      <c r="B1208" s="3">
        <v>44740</v>
      </c>
      <c r="C1208" s="2" t="s">
        <v>20</v>
      </c>
      <c r="D1208" s="2" t="s">
        <v>8</v>
      </c>
      <c r="E1208" s="2" t="s">
        <v>9</v>
      </c>
      <c r="F1208" s="2" t="s">
        <v>10</v>
      </c>
      <c r="G1208" s="2">
        <v>34</v>
      </c>
      <c r="H1208" s="9">
        <v>77</v>
      </c>
    </row>
    <row r="1209" spans="2:8" x14ac:dyDescent="0.25">
      <c r="B1209" s="3">
        <v>44740</v>
      </c>
      <c r="C1209" s="2" t="s">
        <v>24</v>
      </c>
      <c r="D1209" s="2" t="s">
        <v>18</v>
      </c>
      <c r="E1209" s="2" t="s">
        <v>9</v>
      </c>
      <c r="F1209" s="2" t="s">
        <v>16</v>
      </c>
      <c r="G1209" s="2">
        <v>50</v>
      </c>
      <c r="H1209" s="9">
        <v>97</v>
      </c>
    </row>
    <row r="1210" spans="2:8" x14ac:dyDescent="0.25">
      <c r="B1210" s="3">
        <v>44741</v>
      </c>
      <c r="C1210" s="2" t="s">
        <v>29</v>
      </c>
      <c r="D1210" s="2" t="s">
        <v>18</v>
      </c>
      <c r="E1210" s="2" t="s">
        <v>13</v>
      </c>
      <c r="F1210" s="2" t="s">
        <v>10</v>
      </c>
      <c r="G1210" s="2">
        <v>37</v>
      </c>
      <c r="H1210" s="9">
        <v>75</v>
      </c>
    </row>
    <row r="1211" spans="2:8" x14ac:dyDescent="0.25">
      <c r="B1211" s="3">
        <v>44741</v>
      </c>
      <c r="C1211" s="2" t="s">
        <v>22</v>
      </c>
      <c r="D1211" s="2" t="s">
        <v>12</v>
      </c>
      <c r="E1211" s="2" t="s">
        <v>13</v>
      </c>
      <c r="F1211" s="2" t="s">
        <v>14</v>
      </c>
      <c r="G1211" s="2">
        <v>53</v>
      </c>
      <c r="H1211" s="9">
        <v>65</v>
      </c>
    </row>
    <row r="1212" spans="2:8" x14ac:dyDescent="0.25">
      <c r="B1212" s="3">
        <v>44741</v>
      </c>
      <c r="C1212" s="2" t="s">
        <v>27</v>
      </c>
      <c r="D1212" s="2" t="s">
        <v>18</v>
      </c>
      <c r="E1212" s="2" t="s">
        <v>13</v>
      </c>
      <c r="F1212" s="2" t="s">
        <v>10</v>
      </c>
      <c r="G1212" s="2">
        <v>75</v>
      </c>
      <c r="H1212" s="9">
        <v>80</v>
      </c>
    </row>
    <row r="1213" spans="2:8" x14ac:dyDescent="0.25">
      <c r="B1213" s="3">
        <v>44741</v>
      </c>
      <c r="C1213" s="2" t="s">
        <v>7</v>
      </c>
      <c r="D1213" s="2" t="s">
        <v>8</v>
      </c>
      <c r="E1213" s="2" t="s">
        <v>13</v>
      </c>
      <c r="F1213" s="2" t="s">
        <v>16</v>
      </c>
      <c r="G1213" s="2">
        <v>32</v>
      </c>
      <c r="H1213" s="9">
        <v>140</v>
      </c>
    </row>
    <row r="1214" spans="2:8" x14ac:dyDescent="0.25">
      <c r="B1214" s="3">
        <v>44741</v>
      </c>
      <c r="C1214" s="2" t="s">
        <v>22</v>
      </c>
      <c r="D1214" s="2" t="s">
        <v>12</v>
      </c>
      <c r="E1214" s="2" t="s">
        <v>13</v>
      </c>
      <c r="F1214" s="2" t="s">
        <v>16</v>
      </c>
      <c r="G1214" s="2">
        <v>28</v>
      </c>
      <c r="H1214" s="9">
        <v>150</v>
      </c>
    </row>
    <row r="1215" spans="2:8" x14ac:dyDescent="0.25">
      <c r="B1215" s="3">
        <v>44741</v>
      </c>
      <c r="C1215" s="2" t="s">
        <v>21</v>
      </c>
      <c r="D1215" s="2" t="s">
        <v>8</v>
      </c>
      <c r="E1215" s="2" t="s">
        <v>9</v>
      </c>
      <c r="F1215" s="2" t="s">
        <v>16</v>
      </c>
      <c r="G1215" s="2">
        <v>38</v>
      </c>
      <c r="H1215" s="9">
        <v>117</v>
      </c>
    </row>
    <row r="1216" spans="2:8" x14ac:dyDescent="0.25">
      <c r="B1216" s="3">
        <v>44741</v>
      </c>
      <c r="C1216" s="2" t="s">
        <v>28</v>
      </c>
      <c r="D1216" s="2" t="s">
        <v>8</v>
      </c>
      <c r="E1216" s="2" t="s">
        <v>9</v>
      </c>
      <c r="F1216" s="2" t="s">
        <v>16</v>
      </c>
      <c r="G1216" s="2">
        <v>79</v>
      </c>
      <c r="H1216" s="9">
        <v>75</v>
      </c>
    </row>
    <row r="1217" spans="2:8" x14ac:dyDescent="0.25">
      <c r="B1217" s="3">
        <v>44741</v>
      </c>
      <c r="C1217" s="2" t="s">
        <v>27</v>
      </c>
      <c r="D1217" s="2" t="s">
        <v>18</v>
      </c>
      <c r="E1217" s="2" t="s">
        <v>13</v>
      </c>
      <c r="F1217" s="2" t="s">
        <v>16</v>
      </c>
      <c r="G1217" s="2">
        <v>42</v>
      </c>
      <c r="H1217" s="9">
        <v>72</v>
      </c>
    </row>
    <row r="1218" spans="2:8" x14ac:dyDescent="0.25">
      <c r="B1218" s="3">
        <v>44742</v>
      </c>
      <c r="C1218" s="2" t="s">
        <v>26</v>
      </c>
      <c r="D1218" s="2" t="s">
        <v>12</v>
      </c>
      <c r="E1218" s="2" t="s">
        <v>13</v>
      </c>
      <c r="F1218" s="2" t="s">
        <v>10</v>
      </c>
      <c r="G1218" s="2">
        <v>59</v>
      </c>
      <c r="H1218" s="9">
        <v>87</v>
      </c>
    </row>
    <row r="1219" spans="2:8" x14ac:dyDescent="0.25">
      <c r="B1219" s="3">
        <v>44742</v>
      </c>
      <c r="C1219" s="2" t="s">
        <v>24</v>
      </c>
      <c r="D1219" s="2" t="s">
        <v>18</v>
      </c>
      <c r="E1219" s="2" t="s">
        <v>9</v>
      </c>
      <c r="F1219" s="2" t="s">
        <v>14</v>
      </c>
      <c r="G1219" s="2">
        <v>29</v>
      </c>
      <c r="H1219" s="9">
        <v>121</v>
      </c>
    </row>
    <row r="1220" spans="2:8" x14ac:dyDescent="0.25">
      <c r="B1220" s="3">
        <v>44742</v>
      </c>
      <c r="C1220" s="2" t="s">
        <v>22</v>
      </c>
      <c r="D1220" s="2" t="s">
        <v>12</v>
      </c>
      <c r="E1220" s="2" t="s">
        <v>9</v>
      </c>
      <c r="F1220" s="2" t="s">
        <v>14</v>
      </c>
      <c r="G1220" s="2">
        <v>75</v>
      </c>
      <c r="H1220" s="9">
        <v>100</v>
      </c>
    </row>
    <row r="1221" spans="2:8" x14ac:dyDescent="0.25">
      <c r="B1221" s="4">
        <v>44742</v>
      </c>
      <c r="C1221" s="1" t="s">
        <v>17</v>
      </c>
      <c r="D1221" s="1" t="s">
        <v>18</v>
      </c>
      <c r="E1221" s="1" t="s">
        <v>13</v>
      </c>
      <c r="F1221" s="1" t="s">
        <v>16</v>
      </c>
      <c r="G1221" s="1">
        <v>39</v>
      </c>
      <c r="H1221" s="10">
        <v>105</v>
      </c>
    </row>
    <row r="1222" spans="2:8" x14ac:dyDescent="0.25">
      <c r="B1222" s="8">
        <v>44743</v>
      </c>
      <c r="C1222" t="s">
        <v>7</v>
      </c>
      <c r="D1222" t="s">
        <v>8</v>
      </c>
      <c r="E1222" t="s">
        <v>9</v>
      </c>
      <c r="F1222" t="s">
        <v>10</v>
      </c>
      <c r="G1222">
        <v>26</v>
      </c>
      <c r="H1222" s="11">
        <v>46</v>
      </c>
    </row>
    <row r="1223" spans="2:8" x14ac:dyDescent="0.25">
      <c r="B1223" s="8">
        <v>44743</v>
      </c>
      <c r="C1223" t="s">
        <v>20</v>
      </c>
      <c r="D1223" t="s">
        <v>8</v>
      </c>
      <c r="E1223" t="s">
        <v>13</v>
      </c>
      <c r="F1223" t="s">
        <v>16</v>
      </c>
      <c r="G1223">
        <v>82</v>
      </c>
      <c r="H1223" s="11">
        <v>83</v>
      </c>
    </row>
    <row r="1224" spans="2:8" x14ac:dyDescent="0.25">
      <c r="B1224" s="8">
        <v>44743</v>
      </c>
      <c r="C1224" t="s">
        <v>19</v>
      </c>
      <c r="D1224" t="s">
        <v>12</v>
      </c>
      <c r="E1224" t="s">
        <v>13</v>
      </c>
      <c r="F1224" t="s">
        <v>14</v>
      </c>
      <c r="G1224">
        <v>46</v>
      </c>
      <c r="H1224" s="11">
        <v>68</v>
      </c>
    </row>
    <row r="1225" spans="2:8" x14ac:dyDescent="0.25">
      <c r="B1225" s="8">
        <v>44743</v>
      </c>
      <c r="C1225" t="s">
        <v>24</v>
      </c>
      <c r="D1225" t="s">
        <v>18</v>
      </c>
      <c r="E1225" t="s">
        <v>9</v>
      </c>
      <c r="F1225" t="s">
        <v>16</v>
      </c>
      <c r="G1225">
        <v>26</v>
      </c>
      <c r="H1225" s="11">
        <v>80</v>
      </c>
    </row>
    <row r="1226" spans="2:8" x14ac:dyDescent="0.25">
      <c r="B1226" s="8">
        <v>44743</v>
      </c>
      <c r="C1226" t="s">
        <v>17</v>
      </c>
      <c r="D1226" t="s">
        <v>18</v>
      </c>
      <c r="E1226" t="s">
        <v>9</v>
      </c>
      <c r="F1226" t="s">
        <v>14</v>
      </c>
      <c r="G1226">
        <v>77</v>
      </c>
      <c r="H1226" s="11">
        <v>110</v>
      </c>
    </row>
    <row r="1227" spans="2:8" x14ac:dyDescent="0.25">
      <c r="B1227" s="8">
        <v>44743</v>
      </c>
      <c r="C1227" t="s">
        <v>23</v>
      </c>
      <c r="D1227" t="s">
        <v>18</v>
      </c>
      <c r="E1227" t="s">
        <v>13</v>
      </c>
      <c r="F1227" t="s">
        <v>10</v>
      </c>
      <c r="G1227">
        <v>41</v>
      </c>
      <c r="H1227" s="11">
        <v>50</v>
      </c>
    </row>
    <row r="1228" spans="2:8" x14ac:dyDescent="0.25">
      <c r="B1228" s="8">
        <v>44743</v>
      </c>
      <c r="C1228" t="s">
        <v>19</v>
      </c>
      <c r="D1228" t="s">
        <v>12</v>
      </c>
      <c r="E1228" t="s">
        <v>9</v>
      </c>
      <c r="F1228" t="s">
        <v>14</v>
      </c>
      <c r="G1228">
        <v>77</v>
      </c>
      <c r="H1228" s="11">
        <v>37</v>
      </c>
    </row>
    <row r="1229" spans="2:8" x14ac:dyDescent="0.25">
      <c r="B1229" s="8">
        <v>44744</v>
      </c>
      <c r="C1229" t="s">
        <v>26</v>
      </c>
      <c r="D1229" t="s">
        <v>12</v>
      </c>
      <c r="E1229" t="s">
        <v>13</v>
      </c>
      <c r="F1229" t="s">
        <v>16</v>
      </c>
      <c r="G1229">
        <v>91</v>
      </c>
      <c r="H1229" s="11">
        <v>76</v>
      </c>
    </row>
    <row r="1230" spans="2:8" x14ac:dyDescent="0.25">
      <c r="B1230" s="8">
        <v>44744</v>
      </c>
      <c r="C1230" t="s">
        <v>28</v>
      </c>
      <c r="D1230" t="s">
        <v>8</v>
      </c>
      <c r="E1230" t="s">
        <v>13</v>
      </c>
      <c r="F1230" t="s">
        <v>10</v>
      </c>
      <c r="G1230">
        <v>98</v>
      </c>
      <c r="H1230" s="11">
        <v>122</v>
      </c>
    </row>
    <row r="1231" spans="2:8" x14ac:dyDescent="0.25">
      <c r="B1231" s="8">
        <v>44744</v>
      </c>
      <c r="C1231" t="s">
        <v>20</v>
      </c>
      <c r="D1231" t="s">
        <v>8</v>
      </c>
      <c r="E1231" t="s">
        <v>13</v>
      </c>
      <c r="F1231" t="s">
        <v>10</v>
      </c>
      <c r="G1231">
        <v>96</v>
      </c>
      <c r="H1231" s="11">
        <v>142</v>
      </c>
    </row>
    <row r="1232" spans="2:8" x14ac:dyDescent="0.25">
      <c r="B1232" s="8">
        <v>44744</v>
      </c>
      <c r="C1232" t="s">
        <v>22</v>
      </c>
      <c r="D1232" t="s">
        <v>12</v>
      </c>
      <c r="E1232" t="s">
        <v>9</v>
      </c>
      <c r="F1232" t="s">
        <v>16</v>
      </c>
      <c r="G1232">
        <v>19</v>
      </c>
      <c r="H1232" s="11">
        <v>106</v>
      </c>
    </row>
    <row r="1233" spans="2:8" x14ac:dyDescent="0.25">
      <c r="B1233" s="8">
        <v>44745</v>
      </c>
      <c r="C1233" t="s">
        <v>25</v>
      </c>
      <c r="D1233" t="s">
        <v>12</v>
      </c>
      <c r="E1233" t="s">
        <v>9</v>
      </c>
      <c r="F1233" t="s">
        <v>16</v>
      </c>
      <c r="G1233">
        <v>68</v>
      </c>
      <c r="H1233" s="11">
        <v>97</v>
      </c>
    </row>
    <row r="1234" spans="2:8" x14ac:dyDescent="0.25">
      <c r="B1234" s="8">
        <v>44745</v>
      </c>
      <c r="C1234" t="s">
        <v>15</v>
      </c>
      <c r="D1234" t="s">
        <v>8</v>
      </c>
      <c r="E1234" t="s">
        <v>13</v>
      </c>
      <c r="F1234" t="s">
        <v>10</v>
      </c>
      <c r="G1234">
        <v>10</v>
      </c>
      <c r="H1234" s="11">
        <v>29</v>
      </c>
    </row>
    <row r="1235" spans="2:8" x14ac:dyDescent="0.25">
      <c r="B1235" s="8">
        <v>44745</v>
      </c>
      <c r="C1235" t="s">
        <v>19</v>
      </c>
      <c r="D1235" t="s">
        <v>12</v>
      </c>
      <c r="E1235" t="s">
        <v>9</v>
      </c>
      <c r="F1235" t="s">
        <v>16</v>
      </c>
      <c r="G1235">
        <v>34</v>
      </c>
      <c r="H1235" s="11">
        <v>140</v>
      </c>
    </row>
    <row r="1236" spans="2:8" x14ac:dyDescent="0.25">
      <c r="B1236" s="8">
        <v>44745</v>
      </c>
      <c r="C1236" t="s">
        <v>27</v>
      </c>
      <c r="D1236" t="s">
        <v>18</v>
      </c>
      <c r="E1236" t="s">
        <v>13</v>
      </c>
      <c r="F1236" t="s">
        <v>10</v>
      </c>
      <c r="G1236">
        <v>55</v>
      </c>
      <c r="H1236" s="11">
        <v>139</v>
      </c>
    </row>
    <row r="1237" spans="2:8" x14ac:dyDescent="0.25">
      <c r="B1237" s="8">
        <v>44745</v>
      </c>
      <c r="C1237" t="s">
        <v>22</v>
      </c>
      <c r="D1237" t="s">
        <v>12</v>
      </c>
      <c r="E1237" t="s">
        <v>9</v>
      </c>
      <c r="F1237" t="s">
        <v>14</v>
      </c>
      <c r="G1237">
        <v>13</v>
      </c>
      <c r="H1237" s="11">
        <v>103</v>
      </c>
    </row>
    <row r="1238" spans="2:8" x14ac:dyDescent="0.25">
      <c r="B1238" s="8">
        <v>44745</v>
      </c>
      <c r="C1238" t="s">
        <v>7</v>
      </c>
      <c r="D1238" t="s">
        <v>8</v>
      </c>
      <c r="E1238" t="s">
        <v>13</v>
      </c>
      <c r="F1238" t="s">
        <v>14</v>
      </c>
      <c r="G1238">
        <v>86</v>
      </c>
      <c r="H1238" s="11">
        <v>129</v>
      </c>
    </row>
    <row r="1239" spans="2:8" x14ac:dyDescent="0.25">
      <c r="B1239" s="8">
        <v>44745</v>
      </c>
      <c r="C1239" t="s">
        <v>24</v>
      </c>
      <c r="D1239" t="s">
        <v>18</v>
      </c>
      <c r="E1239" t="s">
        <v>13</v>
      </c>
      <c r="F1239" t="s">
        <v>16</v>
      </c>
      <c r="G1239">
        <v>83</v>
      </c>
      <c r="H1239" s="11">
        <v>131</v>
      </c>
    </row>
    <row r="1240" spans="2:8" x14ac:dyDescent="0.25">
      <c r="B1240" s="8">
        <v>44746</v>
      </c>
      <c r="C1240" t="s">
        <v>29</v>
      </c>
      <c r="D1240" t="s">
        <v>18</v>
      </c>
      <c r="E1240" t="s">
        <v>13</v>
      </c>
      <c r="F1240" t="s">
        <v>16</v>
      </c>
      <c r="G1240">
        <v>92</v>
      </c>
      <c r="H1240" s="11">
        <v>49</v>
      </c>
    </row>
    <row r="1241" spans="2:8" x14ac:dyDescent="0.25">
      <c r="B1241" s="8">
        <v>44746</v>
      </c>
      <c r="C1241" t="s">
        <v>24</v>
      </c>
      <c r="D1241" t="s">
        <v>18</v>
      </c>
      <c r="E1241" t="s">
        <v>9</v>
      </c>
      <c r="F1241" t="s">
        <v>14</v>
      </c>
      <c r="G1241">
        <v>79</v>
      </c>
      <c r="H1241" s="11">
        <v>23</v>
      </c>
    </row>
    <row r="1242" spans="2:8" x14ac:dyDescent="0.25">
      <c r="B1242" s="8">
        <v>44746</v>
      </c>
      <c r="C1242" t="s">
        <v>26</v>
      </c>
      <c r="D1242" t="s">
        <v>12</v>
      </c>
      <c r="E1242" t="s">
        <v>13</v>
      </c>
      <c r="F1242" t="s">
        <v>14</v>
      </c>
      <c r="G1242">
        <v>25</v>
      </c>
      <c r="H1242" s="11">
        <v>57</v>
      </c>
    </row>
    <row r="1243" spans="2:8" x14ac:dyDescent="0.25">
      <c r="B1243" s="8">
        <v>44746</v>
      </c>
      <c r="C1243" t="s">
        <v>22</v>
      </c>
      <c r="D1243" t="s">
        <v>12</v>
      </c>
      <c r="E1243" t="s">
        <v>9</v>
      </c>
      <c r="F1243" t="s">
        <v>10</v>
      </c>
      <c r="G1243">
        <v>49</v>
      </c>
      <c r="H1243" s="11">
        <v>55</v>
      </c>
    </row>
    <row r="1244" spans="2:8" x14ac:dyDescent="0.25">
      <c r="B1244" s="8">
        <v>44746</v>
      </c>
      <c r="C1244" t="s">
        <v>22</v>
      </c>
      <c r="D1244" t="s">
        <v>12</v>
      </c>
      <c r="E1244" t="s">
        <v>13</v>
      </c>
      <c r="F1244" t="s">
        <v>16</v>
      </c>
      <c r="G1244">
        <v>28</v>
      </c>
      <c r="H1244" s="11">
        <v>105</v>
      </c>
    </row>
    <row r="1245" spans="2:8" x14ac:dyDescent="0.25">
      <c r="B1245" s="8">
        <v>44746</v>
      </c>
      <c r="C1245" t="s">
        <v>23</v>
      </c>
      <c r="D1245" t="s">
        <v>18</v>
      </c>
      <c r="E1245" t="s">
        <v>9</v>
      </c>
      <c r="F1245" t="s">
        <v>14</v>
      </c>
      <c r="G1245">
        <v>68</v>
      </c>
      <c r="H1245" s="11">
        <v>97</v>
      </c>
    </row>
    <row r="1246" spans="2:8" x14ac:dyDescent="0.25">
      <c r="B1246" s="8">
        <v>44746</v>
      </c>
      <c r="C1246" t="s">
        <v>24</v>
      </c>
      <c r="D1246" t="s">
        <v>18</v>
      </c>
      <c r="E1246" t="s">
        <v>13</v>
      </c>
      <c r="F1246" t="s">
        <v>14</v>
      </c>
      <c r="G1246">
        <v>28</v>
      </c>
      <c r="H1246" s="11">
        <v>69</v>
      </c>
    </row>
    <row r="1247" spans="2:8" x14ac:dyDescent="0.25">
      <c r="B1247" s="8">
        <v>44746</v>
      </c>
      <c r="C1247" t="s">
        <v>28</v>
      </c>
      <c r="D1247" t="s">
        <v>8</v>
      </c>
      <c r="E1247" t="s">
        <v>9</v>
      </c>
      <c r="F1247" t="s">
        <v>16</v>
      </c>
      <c r="G1247">
        <v>62</v>
      </c>
      <c r="H1247" s="11">
        <v>109</v>
      </c>
    </row>
    <row r="1248" spans="2:8" x14ac:dyDescent="0.25">
      <c r="B1248" s="8">
        <v>44746</v>
      </c>
      <c r="C1248" t="s">
        <v>29</v>
      </c>
      <c r="D1248" t="s">
        <v>18</v>
      </c>
      <c r="E1248" t="s">
        <v>13</v>
      </c>
      <c r="F1248" t="s">
        <v>14</v>
      </c>
      <c r="G1248">
        <v>61</v>
      </c>
      <c r="H1248" s="11">
        <v>70</v>
      </c>
    </row>
    <row r="1249" spans="2:8" x14ac:dyDescent="0.25">
      <c r="B1249" s="8">
        <v>44746</v>
      </c>
      <c r="C1249" t="s">
        <v>29</v>
      </c>
      <c r="D1249" t="s">
        <v>18</v>
      </c>
      <c r="E1249" t="s">
        <v>13</v>
      </c>
      <c r="F1249" t="s">
        <v>10</v>
      </c>
      <c r="G1249">
        <v>77</v>
      </c>
      <c r="H1249" s="11">
        <v>37</v>
      </c>
    </row>
    <row r="1250" spans="2:8" x14ac:dyDescent="0.25">
      <c r="B1250" s="8">
        <v>44746</v>
      </c>
      <c r="C1250" t="s">
        <v>7</v>
      </c>
      <c r="D1250" t="s">
        <v>8</v>
      </c>
      <c r="E1250" t="s">
        <v>9</v>
      </c>
      <c r="F1250" t="s">
        <v>14</v>
      </c>
      <c r="G1250">
        <v>48</v>
      </c>
      <c r="H1250" s="11">
        <v>65</v>
      </c>
    </row>
    <row r="1251" spans="2:8" x14ac:dyDescent="0.25">
      <c r="B1251" s="8">
        <v>44747</v>
      </c>
      <c r="C1251" t="s">
        <v>27</v>
      </c>
      <c r="D1251" t="s">
        <v>18</v>
      </c>
      <c r="E1251" t="s">
        <v>13</v>
      </c>
      <c r="F1251" t="s">
        <v>16</v>
      </c>
      <c r="G1251">
        <v>78</v>
      </c>
      <c r="H1251" s="11">
        <v>50</v>
      </c>
    </row>
    <row r="1252" spans="2:8" x14ac:dyDescent="0.25">
      <c r="B1252" s="8">
        <v>44747</v>
      </c>
      <c r="C1252" t="s">
        <v>29</v>
      </c>
      <c r="D1252" t="s">
        <v>18</v>
      </c>
      <c r="E1252" t="s">
        <v>9</v>
      </c>
      <c r="F1252" t="s">
        <v>10</v>
      </c>
      <c r="G1252">
        <v>61</v>
      </c>
      <c r="H1252" s="11">
        <v>55</v>
      </c>
    </row>
    <row r="1253" spans="2:8" x14ac:dyDescent="0.25">
      <c r="B1253" s="8">
        <v>44747</v>
      </c>
      <c r="C1253" t="s">
        <v>20</v>
      </c>
      <c r="D1253" t="s">
        <v>8</v>
      </c>
      <c r="E1253" t="s">
        <v>13</v>
      </c>
      <c r="F1253" t="s">
        <v>14</v>
      </c>
      <c r="G1253">
        <v>34</v>
      </c>
      <c r="H1253" s="11">
        <v>93</v>
      </c>
    </row>
    <row r="1254" spans="2:8" x14ac:dyDescent="0.25">
      <c r="B1254" s="8">
        <v>44747</v>
      </c>
      <c r="C1254" t="s">
        <v>19</v>
      </c>
      <c r="D1254" t="s">
        <v>12</v>
      </c>
      <c r="E1254" t="s">
        <v>13</v>
      </c>
      <c r="F1254" t="s">
        <v>16</v>
      </c>
      <c r="G1254">
        <v>42</v>
      </c>
      <c r="H1254" s="11">
        <v>43</v>
      </c>
    </row>
    <row r="1255" spans="2:8" x14ac:dyDescent="0.25">
      <c r="B1255" s="8">
        <v>44747</v>
      </c>
      <c r="C1255" t="s">
        <v>7</v>
      </c>
      <c r="D1255" t="s">
        <v>8</v>
      </c>
      <c r="E1255" t="s">
        <v>9</v>
      </c>
      <c r="F1255" t="s">
        <v>16</v>
      </c>
      <c r="G1255">
        <v>37</v>
      </c>
      <c r="H1255" s="11">
        <v>85</v>
      </c>
    </row>
    <row r="1256" spans="2:8" x14ac:dyDescent="0.25">
      <c r="B1256" s="8">
        <v>44747</v>
      </c>
      <c r="C1256" t="s">
        <v>22</v>
      </c>
      <c r="D1256" t="s">
        <v>12</v>
      </c>
      <c r="E1256" t="s">
        <v>9</v>
      </c>
      <c r="F1256" t="s">
        <v>10</v>
      </c>
      <c r="G1256">
        <v>20</v>
      </c>
      <c r="H1256" s="11">
        <v>137</v>
      </c>
    </row>
    <row r="1257" spans="2:8" x14ac:dyDescent="0.25">
      <c r="B1257" s="8">
        <v>44747</v>
      </c>
      <c r="C1257" t="s">
        <v>20</v>
      </c>
      <c r="D1257" t="s">
        <v>8</v>
      </c>
      <c r="E1257" t="s">
        <v>13</v>
      </c>
      <c r="F1257" t="s">
        <v>10</v>
      </c>
      <c r="G1257">
        <v>32</v>
      </c>
      <c r="H1257" s="11">
        <v>118</v>
      </c>
    </row>
    <row r="1258" spans="2:8" x14ac:dyDescent="0.25">
      <c r="B1258" s="8">
        <v>44748</v>
      </c>
      <c r="C1258" t="s">
        <v>15</v>
      </c>
      <c r="D1258" t="s">
        <v>8</v>
      </c>
      <c r="E1258" t="s">
        <v>13</v>
      </c>
      <c r="F1258" t="s">
        <v>10</v>
      </c>
      <c r="G1258">
        <v>68</v>
      </c>
      <c r="H1258" s="11">
        <v>141</v>
      </c>
    </row>
    <row r="1259" spans="2:8" x14ac:dyDescent="0.25">
      <c r="B1259" s="8">
        <v>44748</v>
      </c>
      <c r="C1259" t="s">
        <v>22</v>
      </c>
      <c r="D1259" t="s">
        <v>12</v>
      </c>
      <c r="E1259" t="s">
        <v>13</v>
      </c>
      <c r="F1259" t="s">
        <v>14</v>
      </c>
      <c r="G1259">
        <v>22</v>
      </c>
      <c r="H1259" s="11">
        <v>79</v>
      </c>
    </row>
    <row r="1260" spans="2:8" x14ac:dyDescent="0.25">
      <c r="B1260" s="8">
        <v>44748</v>
      </c>
      <c r="C1260" t="s">
        <v>11</v>
      </c>
      <c r="D1260" t="s">
        <v>12</v>
      </c>
      <c r="E1260" t="s">
        <v>13</v>
      </c>
      <c r="F1260" t="s">
        <v>16</v>
      </c>
      <c r="G1260">
        <v>35</v>
      </c>
      <c r="H1260" s="11">
        <v>84</v>
      </c>
    </row>
    <row r="1261" spans="2:8" x14ac:dyDescent="0.25">
      <c r="B1261" s="8">
        <v>44748</v>
      </c>
      <c r="C1261" t="s">
        <v>25</v>
      </c>
      <c r="D1261" t="s">
        <v>12</v>
      </c>
      <c r="E1261" t="s">
        <v>9</v>
      </c>
      <c r="F1261" t="s">
        <v>16</v>
      </c>
      <c r="G1261">
        <v>95</v>
      </c>
      <c r="H1261" s="11">
        <v>65</v>
      </c>
    </row>
    <row r="1262" spans="2:8" x14ac:dyDescent="0.25">
      <c r="B1262" s="8">
        <v>44748</v>
      </c>
      <c r="C1262" t="s">
        <v>22</v>
      </c>
      <c r="D1262" t="s">
        <v>12</v>
      </c>
      <c r="E1262" t="s">
        <v>13</v>
      </c>
      <c r="F1262" t="s">
        <v>10</v>
      </c>
      <c r="G1262">
        <v>17</v>
      </c>
      <c r="H1262" s="11">
        <v>118</v>
      </c>
    </row>
    <row r="1263" spans="2:8" x14ac:dyDescent="0.25">
      <c r="B1263" s="8">
        <v>44748</v>
      </c>
      <c r="C1263" t="s">
        <v>21</v>
      </c>
      <c r="D1263" t="s">
        <v>8</v>
      </c>
      <c r="E1263" t="s">
        <v>13</v>
      </c>
      <c r="F1263" t="s">
        <v>16</v>
      </c>
      <c r="G1263">
        <v>51</v>
      </c>
      <c r="H1263" s="11">
        <v>127</v>
      </c>
    </row>
    <row r="1264" spans="2:8" x14ac:dyDescent="0.25">
      <c r="B1264" s="8">
        <v>44748</v>
      </c>
      <c r="C1264" t="s">
        <v>21</v>
      </c>
      <c r="D1264" t="s">
        <v>8</v>
      </c>
      <c r="E1264" t="s">
        <v>13</v>
      </c>
      <c r="F1264" t="s">
        <v>10</v>
      </c>
      <c r="G1264">
        <v>54</v>
      </c>
      <c r="H1264" s="11">
        <v>54</v>
      </c>
    </row>
    <row r="1265" spans="2:8" x14ac:dyDescent="0.25">
      <c r="B1265" s="8">
        <v>44748</v>
      </c>
      <c r="C1265" t="s">
        <v>25</v>
      </c>
      <c r="D1265" t="s">
        <v>12</v>
      </c>
      <c r="E1265" t="s">
        <v>13</v>
      </c>
      <c r="F1265" t="s">
        <v>16</v>
      </c>
      <c r="G1265">
        <v>28</v>
      </c>
      <c r="H1265" s="11">
        <v>64</v>
      </c>
    </row>
    <row r="1266" spans="2:8" x14ac:dyDescent="0.25">
      <c r="B1266" s="8">
        <v>44748</v>
      </c>
      <c r="C1266" t="s">
        <v>25</v>
      </c>
      <c r="D1266" t="s">
        <v>12</v>
      </c>
      <c r="E1266" t="s">
        <v>9</v>
      </c>
      <c r="F1266" t="s">
        <v>10</v>
      </c>
      <c r="G1266">
        <v>54</v>
      </c>
      <c r="H1266" s="11">
        <v>66</v>
      </c>
    </row>
    <row r="1267" spans="2:8" x14ac:dyDescent="0.25">
      <c r="B1267" s="8">
        <v>44749</v>
      </c>
      <c r="C1267" t="s">
        <v>24</v>
      </c>
      <c r="D1267" t="s">
        <v>18</v>
      </c>
      <c r="E1267" t="s">
        <v>13</v>
      </c>
      <c r="F1267" t="s">
        <v>10</v>
      </c>
      <c r="G1267">
        <v>80</v>
      </c>
      <c r="H1267" s="11">
        <v>106</v>
      </c>
    </row>
    <row r="1268" spans="2:8" x14ac:dyDescent="0.25">
      <c r="B1268" s="8">
        <v>44749</v>
      </c>
      <c r="C1268" t="s">
        <v>15</v>
      </c>
      <c r="D1268" t="s">
        <v>8</v>
      </c>
      <c r="E1268" t="s">
        <v>13</v>
      </c>
      <c r="F1268" t="s">
        <v>14</v>
      </c>
      <c r="G1268">
        <v>40</v>
      </c>
      <c r="H1268" s="11">
        <v>140</v>
      </c>
    </row>
    <row r="1269" spans="2:8" x14ac:dyDescent="0.25">
      <c r="B1269" s="8">
        <v>44749</v>
      </c>
      <c r="C1269" t="s">
        <v>17</v>
      </c>
      <c r="D1269" t="s">
        <v>18</v>
      </c>
      <c r="E1269" t="s">
        <v>9</v>
      </c>
      <c r="F1269" t="s">
        <v>16</v>
      </c>
      <c r="G1269">
        <v>33</v>
      </c>
      <c r="H1269" s="11">
        <v>139</v>
      </c>
    </row>
    <row r="1270" spans="2:8" x14ac:dyDescent="0.25">
      <c r="B1270" s="8">
        <v>44750</v>
      </c>
      <c r="C1270" t="s">
        <v>21</v>
      </c>
      <c r="D1270" t="s">
        <v>8</v>
      </c>
      <c r="E1270" t="s">
        <v>9</v>
      </c>
      <c r="F1270" t="s">
        <v>10</v>
      </c>
      <c r="G1270">
        <v>42</v>
      </c>
      <c r="H1270" s="11">
        <v>56</v>
      </c>
    </row>
    <row r="1271" spans="2:8" x14ac:dyDescent="0.25">
      <c r="B1271" s="8">
        <v>44750</v>
      </c>
      <c r="C1271" t="s">
        <v>21</v>
      </c>
      <c r="D1271" t="s">
        <v>8</v>
      </c>
      <c r="E1271" t="s">
        <v>9</v>
      </c>
      <c r="F1271" t="s">
        <v>16</v>
      </c>
      <c r="G1271">
        <v>45</v>
      </c>
      <c r="H1271" s="11">
        <v>118</v>
      </c>
    </row>
    <row r="1272" spans="2:8" x14ac:dyDescent="0.25">
      <c r="B1272" s="8">
        <v>44750</v>
      </c>
      <c r="C1272" t="s">
        <v>11</v>
      </c>
      <c r="D1272" t="s">
        <v>12</v>
      </c>
      <c r="E1272" t="s">
        <v>13</v>
      </c>
      <c r="F1272" t="s">
        <v>10</v>
      </c>
      <c r="G1272">
        <v>45</v>
      </c>
      <c r="H1272" s="11">
        <v>53</v>
      </c>
    </row>
    <row r="1273" spans="2:8" x14ac:dyDescent="0.25">
      <c r="B1273" s="8">
        <v>44750</v>
      </c>
      <c r="C1273" t="s">
        <v>29</v>
      </c>
      <c r="D1273" t="s">
        <v>18</v>
      </c>
      <c r="E1273" t="s">
        <v>13</v>
      </c>
      <c r="F1273" t="s">
        <v>16</v>
      </c>
      <c r="G1273">
        <v>15</v>
      </c>
      <c r="H1273" s="11">
        <v>124</v>
      </c>
    </row>
    <row r="1274" spans="2:8" x14ac:dyDescent="0.25">
      <c r="B1274" s="8">
        <v>44750</v>
      </c>
      <c r="C1274" t="s">
        <v>24</v>
      </c>
      <c r="D1274" t="s">
        <v>18</v>
      </c>
      <c r="E1274" t="s">
        <v>13</v>
      </c>
      <c r="F1274" t="s">
        <v>14</v>
      </c>
      <c r="G1274">
        <v>92</v>
      </c>
      <c r="H1274" s="11">
        <v>98</v>
      </c>
    </row>
    <row r="1275" spans="2:8" x14ac:dyDescent="0.25">
      <c r="B1275" s="8">
        <v>44750</v>
      </c>
      <c r="C1275" t="s">
        <v>29</v>
      </c>
      <c r="D1275" t="s">
        <v>18</v>
      </c>
      <c r="E1275" t="s">
        <v>13</v>
      </c>
      <c r="F1275" t="s">
        <v>14</v>
      </c>
      <c r="G1275">
        <v>53</v>
      </c>
      <c r="H1275" s="11">
        <v>143</v>
      </c>
    </row>
    <row r="1276" spans="2:8" x14ac:dyDescent="0.25">
      <c r="B1276" s="8">
        <v>44750</v>
      </c>
      <c r="C1276" t="s">
        <v>26</v>
      </c>
      <c r="D1276" t="s">
        <v>12</v>
      </c>
      <c r="E1276" t="s">
        <v>9</v>
      </c>
      <c r="F1276" t="s">
        <v>16</v>
      </c>
      <c r="G1276">
        <v>15</v>
      </c>
      <c r="H1276" s="11">
        <v>101</v>
      </c>
    </row>
    <row r="1277" spans="2:8" x14ac:dyDescent="0.25">
      <c r="B1277" s="8">
        <v>44751</v>
      </c>
      <c r="C1277" t="s">
        <v>17</v>
      </c>
      <c r="D1277" t="s">
        <v>18</v>
      </c>
      <c r="E1277" t="s">
        <v>13</v>
      </c>
      <c r="F1277" t="s">
        <v>16</v>
      </c>
      <c r="G1277">
        <v>23</v>
      </c>
      <c r="H1277" s="11">
        <v>123</v>
      </c>
    </row>
    <row r="1278" spans="2:8" x14ac:dyDescent="0.25">
      <c r="B1278" s="8">
        <v>44751</v>
      </c>
      <c r="C1278" t="s">
        <v>11</v>
      </c>
      <c r="D1278" t="s">
        <v>12</v>
      </c>
      <c r="E1278" t="s">
        <v>9</v>
      </c>
      <c r="F1278" t="s">
        <v>16</v>
      </c>
      <c r="G1278">
        <v>70</v>
      </c>
      <c r="H1278" s="11">
        <v>105</v>
      </c>
    </row>
    <row r="1279" spans="2:8" x14ac:dyDescent="0.25">
      <c r="B1279" s="8">
        <v>44751</v>
      </c>
      <c r="C1279" t="s">
        <v>26</v>
      </c>
      <c r="D1279" t="s">
        <v>12</v>
      </c>
      <c r="E1279" t="s">
        <v>9</v>
      </c>
      <c r="F1279" t="s">
        <v>10</v>
      </c>
      <c r="G1279">
        <v>60</v>
      </c>
      <c r="H1279" s="11">
        <v>90</v>
      </c>
    </row>
    <row r="1280" spans="2:8" x14ac:dyDescent="0.25">
      <c r="B1280" s="8">
        <v>44751</v>
      </c>
      <c r="C1280" t="s">
        <v>17</v>
      </c>
      <c r="D1280" t="s">
        <v>18</v>
      </c>
      <c r="E1280" t="s">
        <v>13</v>
      </c>
      <c r="F1280" t="s">
        <v>10</v>
      </c>
      <c r="G1280">
        <v>19</v>
      </c>
      <c r="H1280" s="11">
        <v>98</v>
      </c>
    </row>
    <row r="1281" spans="2:8" x14ac:dyDescent="0.25">
      <c r="B1281" s="8">
        <v>44751</v>
      </c>
      <c r="C1281" t="s">
        <v>25</v>
      </c>
      <c r="D1281" t="s">
        <v>12</v>
      </c>
      <c r="E1281" t="s">
        <v>9</v>
      </c>
      <c r="F1281" t="s">
        <v>16</v>
      </c>
      <c r="G1281">
        <v>12</v>
      </c>
      <c r="H1281" s="11">
        <v>96</v>
      </c>
    </row>
    <row r="1282" spans="2:8" x14ac:dyDescent="0.25">
      <c r="B1282" s="8">
        <v>44751</v>
      </c>
      <c r="C1282" t="s">
        <v>7</v>
      </c>
      <c r="D1282" t="s">
        <v>8</v>
      </c>
      <c r="E1282" t="s">
        <v>9</v>
      </c>
      <c r="F1282" t="s">
        <v>14</v>
      </c>
      <c r="G1282">
        <v>27</v>
      </c>
      <c r="H1282" s="11">
        <v>120</v>
      </c>
    </row>
    <row r="1283" spans="2:8" x14ac:dyDescent="0.25">
      <c r="B1283" s="8">
        <v>44751</v>
      </c>
      <c r="C1283" t="s">
        <v>28</v>
      </c>
      <c r="D1283" t="s">
        <v>8</v>
      </c>
      <c r="E1283" t="s">
        <v>9</v>
      </c>
      <c r="F1283" t="s">
        <v>14</v>
      </c>
      <c r="G1283">
        <v>92</v>
      </c>
      <c r="H1283" s="11">
        <v>133</v>
      </c>
    </row>
    <row r="1284" spans="2:8" x14ac:dyDescent="0.25">
      <c r="B1284" s="8">
        <v>44751</v>
      </c>
      <c r="C1284" t="s">
        <v>25</v>
      </c>
      <c r="D1284" t="s">
        <v>12</v>
      </c>
      <c r="E1284" t="s">
        <v>9</v>
      </c>
      <c r="F1284" t="s">
        <v>10</v>
      </c>
      <c r="G1284">
        <v>52</v>
      </c>
      <c r="H1284" s="11">
        <v>136</v>
      </c>
    </row>
    <row r="1285" spans="2:8" x14ac:dyDescent="0.25">
      <c r="B1285" s="8">
        <v>44751</v>
      </c>
      <c r="C1285" t="s">
        <v>22</v>
      </c>
      <c r="D1285" t="s">
        <v>12</v>
      </c>
      <c r="E1285" t="s">
        <v>9</v>
      </c>
      <c r="F1285" t="s">
        <v>10</v>
      </c>
      <c r="G1285">
        <v>96</v>
      </c>
      <c r="H1285" s="11">
        <v>133</v>
      </c>
    </row>
    <row r="1286" spans="2:8" x14ac:dyDescent="0.25">
      <c r="B1286" s="8">
        <v>44751</v>
      </c>
      <c r="C1286" t="s">
        <v>26</v>
      </c>
      <c r="D1286" t="s">
        <v>12</v>
      </c>
      <c r="E1286" t="s">
        <v>9</v>
      </c>
      <c r="F1286" t="s">
        <v>10</v>
      </c>
      <c r="G1286">
        <v>80</v>
      </c>
      <c r="H1286" s="11">
        <v>140</v>
      </c>
    </row>
    <row r="1287" spans="2:8" x14ac:dyDescent="0.25">
      <c r="B1287" s="8">
        <v>44752</v>
      </c>
      <c r="C1287" t="s">
        <v>23</v>
      </c>
      <c r="D1287" t="s">
        <v>18</v>
      </c>
      <c r="E1287" t="s">
        <v>9</v>
      </c>
      <c r="F1287" t="s">
        <v>16</v>
      </c>
      <c r="G1287">
        <v>81</v>
      </c>
      <c r="H1287" s="11">
        <v>32</v>
      </c>
    </row>
    <row r="1288" spans="2:8" x14ac:dyDescent="0.25">
      <c r="B1288" s="8">
        <v>44752</v>
      </c>
      <c r="C1288" t="s">
        <v>20</v>
      </c>
      <c r="D1288" t="s">
        <v>8</v>
      </c>
      <c r="E1288" t="s">
        <v>9</v>
      </c>
      <c r="F1288" t="s">
        <v>10</v>
      </c>
      <c r="G1288">
        <v>56</v>
      </c>
      <c r="H1288" s="11">
        <v>43</v>
      </c>
    </row>
    <row r="1289" spans="2:8" x14ac:dyDescent="0.25">
      <c r="B1289" s="8">
        <v>44752</v>
      </c>
      <c r="C1289" t="s">
        <v>21</v>
      </c>
      <c r="D1289" t="s">
        <v>8</v>
      </c>
      <c r="E1289" t="s">
        <v>9</v>
      </c>
      <c r="F1289" t="s">
        <v>10</v>
      </c>
      <c r="G1289">
        <v>21</v>
      </c>
      <c r="H1289" s="11">
        <v>97</v>
      </c>
    </row>
    <row r="1290" spans="2:8" x14ac:dyDescent="0.25">
      <c r="B1290" s="8">
        <v>44752</v>
      </c>
      <c r="C1290" t="s">
        <v>22</v>
      </c>
      <c r="D1290" t="s">
        <v>12</v>
      </c>
      <c r="E1290" t="s">
        <v>9</v>
      </c>
      <c r="F1290" t="s">
        <v>14</v>
      </c>
      <c r="G1290">
        <v>58</v>
      </c>
      <c r="H1290" s="11">
        <v>100</v>
      </c>
    </row>
    <row r="1291" spans="2:8" x14ac:dyDescent="0.25">
      <c r="B1291" s="8">
        <v>44752</v>
      </c>
      <c r="C1291" t="s">
        <v>24</v>
      </c>
      <c r="D1291" t="s">
        <v>18</v>
      </c>
      <c r="E1291" t="s">
        <v>13</v>
      </c>
      <c r="F1291" t="s">
        <v>10</v>
      </c>
      <c r="G1291">
        <v>35</v>
      </c>
      <c r="H1291" s="11">
        <v>61</v>
      </c>
    </row>
    <row r="1292" spans="2:8" x14ac:dyDescent="0.25">
      <c r="B1292" s="8">
        <v>44752</v>
      </c>
      <c r="C1292" t="s">
        <v>22</v>
      </c>
      <c r="D1292" t="s">
        <v>12</v>
      </c>
      <c r="E1292" t="s">
        <v>9</v>
      </c>
      <c r="F1292" t="s">
        <v>16</v>
      </c>
      <c r="G1292">
        <v>68</v>
      </c>
      <c r="H1292" s="11">
        <v>44</v>
      </c>
    </row>
    <row r="1293" spans="2:8" x14ac:dyDescent="0.25">
      <c r="B1293" s="8">
        <v>44752</v>
      </c>
      <c r="C1293" t="s">
        <v>21</v>
      </c>
      <c r="D1293" t="s">
        <v>8</v>
      </c>
      <c r="E1293" t="s">
        <v>9</v>
      </c>
      <c r="F1293" t="s">
        <v>16</v>
      </c>
      <c r="G1293">
        <v>17</v>
      </c>
      <c r="H1293" s="11">
        <v>46</v>
      </c>
    </row>
    <row r="1294" spans="2:8" x14ac:dyDescent="0.25">
      <c r="B1294" s="8">
        <v>44753</v>
      </c>
      <c r="C1294" t="s">
        <v>15</v>
      </c>
      <c r="D1294" t="s">
        <v>8</v>
      </c>
      <c r="E1294" t="s">
        <v>9</v>
      </c>
      <c r="F1294" t="s">
        <v>14</v>
      </c>
      <c r="G1294">
        <v>54</v>
      </c>
      <c r="H1294" s="11">
        <v>84</v>
      </c>
    </row>
    <row r="1295" spans="2:8" x14ac:dyDescent="0.25">
      <c r="B1295" s="8">
        <v>44753</v>
      </c>
      <c r="C1295" t="s">
        <v>24</v>
      </c>
      <c r="D1295" t="s">
        <v>18</v>
      </c>
      <c r="E1295" t="s">
        <v>13</v>
      </c>
      <c r="F1295" t="s">
        <v>14</v>
      </c>
      <c r="G1295">
        <v>77</v>
      </c>
      <c r="H1295" s="11">
        <v>122</v>
      </c>
    </row>
    <row r="1296" spans="2:8" x14ac:dyDescent="0.25">
      <c r="B1296" s="8">
        <v>44753</v>
      </c>
      <c r="C1296" t="s">
        <v>28</v>
      </c>
      <c r="D1296" t="s">
        <v>8</v>
      </c>
      <c r="E1296" t="s">
        <v>13</v>
      </c>
      <c r="F1296" t="s">
        <v>10</v>
      </c>
      <c r="G1296">
        <v>67</v>
      </c>
      <c r="H1296" s="11">
        <v>60</v>
      </c>
    </row>
    <row r="1297" spans="2:8" x14ac:dyDescent="0.25">
      <c r="B1297" s="8">
        <v>44753</v>
      </c>
      <c r="C1297" t="s">
        <v>29</v>
      </c>
      <c r="D1297" t="s">
        <v>18</v>
      </c>
      <c r="E1297" t="s">
        <v>13</v>
      </c>
      <c r="F1297" t="s">
        <v>10</v>
      </c>
      <c r="G1297">
        <v>71</v>
      </c>
      <c r="H1297" s="11">
        <v>122</v>
      </c>
    </row>
    <row r="1298" spans="2:8" x14ac:dyDescent="0.25">
      <c r="B1298" s="8">
        <v>44753</v>
      </c>
      <c r="C1298" t="s">
        <v>11</v>
      </c>
      <c r="D1298" t="s">
        <v>12</v>
      </c>
      <c r="E1298" t="s">
        <v>9</v>
      </c>
      <c r="F1298" t="s">
        <v>10</v>
      </c>
      <c r="G1298">
        <v>59</v>
      </c>
      <c r="H1298" s="11">
        <v>73</v>
      </c>
    </row>
    <row r="1299" spans="2:8" x14ac:dyDescent="0.25">
      <c r="B1299" s="8">
        <v>44753</v>
      </c>
      <c r="C1299" t="s">
        <v>23</v>
      </c>
      <c r="D1299" t="s">
        <v>18</v>
      </c>
      <c r="E1299" t="s">
        <v>13</v>
      </c>
      <c r="F1299" t="s">
        <v>14</v>
      </c>
      <c r="G1299">
        <v>66</v>
      </c>
      <c r="H1299" s="11">
        <v>114</v>
      </c>
    </row>
    <row r="1300" spans="2:8" x14ac:dyDescent="0.25">
      <c r="B1300" s="8">
        <v>44753</v>
      </c>
      <c r="C1300" t="s">
        <v>7</v>
      </c>
      <c r="D1300" t="s">
        <v>8</v>
      </c>
      <c r="E1300" t="s">
        <v>9</v>
      </c>
      <c r="F1300" t="s">
        <v>16</v>
      </c>
      <c r="G1300">
        <v>51</v>
      </c>
      <c r="H1300" s="11">
        <v>71</v>
      </c>
    </row>
    <row r="1301" spans="2:8" x14ac:dyDescent="0.25">
      <c r="B1301" s="8">
        <v>44753</v>
      </c>
      <c r="C1301" t="s">
        <v>27</v>
      </c>
      <c r="D1301" t="s">
        <v>18</v>
      </c>
      <c r="E1301" t="s">
        <v>9</v>
      </c>
      <c r="F1301" t="s">
        <v>10</v>
      </c>
      <c r="G1301">
        <v>75</v>
      </c>
      <c r="H1301" s="11">
        <v>46</v>
      </c>
    </row>
    <row r="1302" spans="2:8" x14ac:dyDescent="0.25">
      <c r="B1302" s="8">
        <v>44753</v>
      </c>
      <c r="C1302" t="s">
        <v>15</v>
      </c>
      <c r="D1302" t="s">
        <v>8</v>
      </c>
      <c r="E1302" t="s">
        <v>13</v>
      </c>
      <c r="F1302" t="s">
        <v>16</v>
      </c>
      <c r="G1302">
        <v>36</v>
      </c>
      <c r="H1302" s="11">
        <v>143</v>
      </c>
    </row>
    <row r="1303" spans="2:8" x14ac:dyDescent="0.25">
      <c r="B1303" s="8">
        <v>44754</v>
      </c>
      <c r="C1303" t="s">
        <v>19</v>
      </c>
      <c r="D1303" t="s">
        <v>12</v>
      </c>
      <c r="E1303" t="s">
        <v>9</v>
      </c>
      <c r="F1303" t="s">
        <v>14</v>
      </c>
      <c r="G1303">
        <v>73</v>
      </c>
      <c r="H1303" s="11">
        <v>54</v>
      </c>
    </row>
    <row r="1304" spans="2:8" x14ac:dyDescent="0.25">
      <c r="B1304" s="8">
        <v>44754</v>
      </c>
      <c r="C1304" t="s">
        <v>22</v>
      </c>
      <c r="D1304" t="s">
        <v>12</v>
      </c>
      <c r="E1304" t="s">
        <v>13</v>
      </c>
      <c r="F1304" t="s">
        <v>14</v>
      </c>
      <c r="G1304">
        <v>86</v>
      </c>
      <c r="H1304" s="11">
        <v>150</v>
      </c>
    </row>
    <row r="1305" spans="2:8" x14ac:dyDescent="0.25">
      <c r="B1305" s="8">
        <v>44754</v>
      </c>
      <c r="C1305" t="s">
        <v>20</v>
      </c>
      <c r="D1305" t="s">
        <v>8</v>
      </c>
      <c r="E1305" t="s">
        <v>13</v>
      </c>
      <c r="F1305" t="s">
        <v>10</v>
      </c>
      <c r="G1305">
        <v>27</v>
      </c>
      <c r="H1305" s="11">
        <v>72</v>
      </c>
    </row>
    <row r="1306" spans="2:8" x14ac:dyDescent="0.25">
      <c r="B1306" s="8">
        <v>44754</v>
      </c>
      <c r="C1306" t="s">
        <v>19</v>
      </c>
      <c r="D1306" t="s">
        <v>12</v>
      </c>
      <c r="E1306" t="s">
        <v>9</v>
      </c>
      <c r="F1306" t="s">
        <v>10</v>
      </c>
      <c r="G1306">
        <v>19</v>
      </c>
      <c r="H1306" s="11">
        <v>144</v>
      </c>
    </row>
    <row r="1307" spans="2:8" x14ac:dyDescent="0.25">
      <c r="B1307" s="8">
        <v>44754</v>
      </c>
      <c r="C1307" t="s">
        <v>15</v>
      </c>
      <c r="D1307" t="s">
        <v>8</v>
      </c>
      <c r="E1307" t="s">
        <v>9</v>
      </c>
      <c r="F1307" t="s">
        <v>16</v>
      </c>
      <c r="G1307">
        <v>27</v>
      </c>
      <c r="H1307" s="11">
        <v>129</v>
      </c>
    </row>
    <row r="1308" spans="2:8" x14ac:dyDescent="0.25">
      <c r="B1308" s="8">
        <v>44754</v>
      </c>
      <c r="C1308" t="s">
        <v>7</v>
      </c>
      <c r="D1308" t="s">
        <v>8</v>
      </c>
      <c r="E1308" t="s">
        <v>13</v>
      </c>
      <c r="F1308" t="s">
        <v>10</v>
      </c>
      <c r="G1308">
        <v>92</v>
      </c>
      <c r="H1308" s="11">
        <v>118</v>
      </c>
    </row>
    <row r="1309" spans="2:8" x14ac:dyDescent="0.25">
      <c r="B1309" s="8">
        <v>44754</v>
      </c>
      <c r="C1309" t="s">
        <v>19</v>
      </c>
      <c r="D1309" t="s">
        <v>12</v>
      </c>
      <c r="E1309" t="s">
        <v>9</v>
      </c>
      <c r="F1309" t="s">
        <v>10</v>
      </c>
      <c r="G1309">
        <v>50</v>
      </c>
      <c r="H1309" s="11">
        <v>27</v>
      </c>
    </row>
    <row r="1310" spans="2:8" x14ac:dyDescent="0.25">
      <c r="B1310" s="8">
        <v>44754</v>
      </c>
      <c r="C1310" t="s">
        <v>27</v>
      </c>
      <c r="D1310" t="s">
        <v>18</v>
      </c>
      <c r="E1310" t="s">
        <v>9</v>
      </c>
      <c r="F1310" t="s">
        <v>14</v>
      </c>
      <c r="G1310">
        <v>16</v>
      </c>
      <c r="H1310" s="11">
        <v>101</v>
      </c>
    </row>
    <row r="1311" spans="2:8" x14ac:dyDescent="0.25">
      <c r="B1311" s="8">
        <v>44754</v>
      </c>
      <c r="C1311" t="s">
        <v>23</v>
      </c>
      <c r="D1311" t="s">
        <v>18</v>
      </c>
      <c r="E1311" t="s">
        <v>9</v>
      </c>
      <c r="F1311" t="s">
        <v>16</v>
      </c>
      <c r="G1311">
        <v>48</v>
      </c>
      <c r="H1311" s="11">
        <v>131</v>
      </c>
    </row>
    <row r="1312" spans="2:8" x14ac:dyDescent="0.25">
      <c r="B1312" s="8">
        <v>44754</v>
      </c>
      <c r="C1312" t="s">
        <v>17</v>
      </c>
      <c r="D1312" t="s">
        <v>18</v>
      </c>
      <c r="E1312" t="s">
        <v>13</v>
      </c>
      <c r="F1312" t="s">
        <v>10</v>
      </c>
      <c r="G1312">
        <v>17</v>
      </c>
      <c r="H1312" s="11">
        <v>92</v>
      </c>
    </row>
    <row r="1313" spans="2:8" x14ac:dyDescent="0.25">
      <c r="B1313" s="8">
        <v>44755</v>
      </c>
      <c r="C1313" t="s">
        <v>21</v>
      </c>
      <c r="D1313" t="s">
        <v>8</v>
      </c>
      <c r="E1313" t="s">
        <v>13</v>
      </c>
      <c r="F1313" t="s">
        <v>14</v>
      </c>
      <c r="G1313">
        <v>87</v>
      </c>
      <c r="H1313" s="11">
        <v>58</v>
      </c>
    </row>
    <row r="1314" spans="2:8" x14ac:dyDescent="0.25">
      <c r="B1314" s="8">
        <v>44755</v>
      </c>
      <c r="C1314" t="s">
        <v>29</v>
      </c>
      <c r="D1314" t="s">
        <v>18</v>
      </c>
      <c r="E1314" t="s">
        <v>13</v>
      </c>
      <c r="F1314" t="s">
        <v>14</v>
      </c>
      <c r="G1314">
        <v>69</v>
      </c>
      <c r="H1314" s="11">
        <v>123</v>
      </c>
    </row>
    <row r="1315" spans="2:8" x14ac:dyDescent="0.25">
      <c r="B1315" s="8">
        <v>44755</v>
      </c>
      <c r="C1315" t="s">
        <v>17</v>
      </c>
      <c r="D1315" t="s">
        <v>18</v>
      </c>
      <c r="E1315" t="s">
        <v>13</v>
      </c>
      <c r="F1315" t="s">
        <v>16</v>
      </c>
      <c r="G1315">
        <v>51</v>
      </c>
      <c r="H1315" s="11">
        <v>97</v>
      </c>
    </row>
    <row r="1316" spans="2:8" x14ac:dyDescent="0.25">
      <c r="B1316" s="8">
        <v>44755</v>
      </c>
      <c r="C1316" t="s">
        <v>21</v>
      </c>
      <c r="D1316" t="s">
        <v>8</v>
      </c>
      <c r="E1316" t="s">
        <v>9</v>
      </c>
      <c r="F1316" t="s">
        <v>10</v>
      </c>
      <c r="G1316">
        <v>87</v>
      </c>
      <c r="H1316" s="11">
        <v>82</v>
      </c>
    </row>
    <row r="1317" spans="2:8" x14ac:dyDescent="0.25">
      <c r="B1317" s="8">
        <v>44755</v>
      </c>
      <c r="C1317" t="s">
        <v>7</v>
      </c>
      <c r="D1317" t="s">
        <v>8</v>
      </c>
      <c r="E1317" t="s">
        <v>13</v>
      </c>
      <c r="F1317" t="s">
        <v>14</v>
      </c>
      <c r="G1317">
        <v>53</v>
      </c>
      <c r="H1317" s="11">
        <v>128</v>
      </c>
    </row>
    <row r="1318" spans="2:8" x14ac:dyDescent="0.25">
      <c r="B1318" s="8">
        <v>44755</v>
      </c>
      <c r="C1318" t="s">
        <v>22</v>
      </c>
      <c r="D1318" t="s">
        <v>12</v>
      </c>
      <c r="E1318" t="s">
        <v>13</v>
      </c>
      <c r="F1318" t="s">
        <v>16</v>
      </c>
      <c r="G1318">
        <v>75</v>
      </c>
      <c r="H1318" s="11">
        <v>95</v>
      </c>
    </row>
    <row r="1319" spans="2:8" x14ac:dyDescent="0.25">
      <c r="B1319" s="8">
        <v>44755</v>
      </c>
      <c r="C1319" t="s">
        <v>24</v>
      </c>
      <c r="D1319" t="s">
        <v>18</v>
      </c>
      <c r="E1319" t="s">
        <v>9</v>
      </c>
      <c r="F1319" t="s">
        <v>10</v>
      </c>
      <c r="G1319">
        <v>59</v>
      </c>
      <c r="H1319" s="11">
        <v>125</v>
      </c>
    </row>
    <row r="1320" spans="2:8" x14ac:dyDescent="0.25">
      <c r="B1320" s="8">
        <v>44755</v>
      </c>
      <c r="C1320" t="s">
        <v>25</v>
      </c>
      <c r="D1320" t="s">
        <v>12</v>
      </c>
      <c r="E1320" t="s">
        <v>9</v>
      </c>
      <c r="F1320" t="s">
        <v>10</v>
      </c>
      <c r="G1320">
        <v>33</v>
      </c>
      <c r="H1320" s="11">
        <v>102</v>
      </c>
    </row>
    <row r="1321" spans="2:8" x14ac:dyDescent="0.25">
      <c r="B1321" s="8">
        <v>44755</v>
      </c>
      <c r="C1321" t="s">
        <v>20</v>
      </c>
      <c r="D1321" t="s">
        <v>8</v>
      </c>
      <c r="E1321" t="s">
        <v>13</v>
      </c>
      <c r="F1321" t="s">
        <v>10</v>
      </c>
      <c r="G1321">
        <v>47</v>
      </c>
      <c r="H1321" s="11">
        <v>113</v>
      </c>
    </row>
    <row r="1322" spans="2:8" x14ac:dyDescent="0.25">
      <c r="B1322" s="8">
        <v>44755</v>
      </c>
      <c r="C1322" t="s">
        <v>15</v>
      </c>
      <c r="D1322" t="s">
        <v>8</v>
      </c>
      <c r="E1322" t="s">
        <v>13</v>
      </c>
      <c r="F1322" t="s">
        <v>10</v>
      </c>
      <c r="G1322">
        <v>31</v>
      </c>
      <c r="H1322" s="11">
        <v>139</v>
      </c>
    </row>
    <row r="1323" spans="2:8" x14ac:dyDescent="0.25">
      <c r="B1323" s="8">
        <v>44755</v>
      </c>
      <c r="C1323" t="s">
        <v>29</v>
      </c>
      <c r="D1323" t="s">
        <v>18</v>
      </c>
      <c r="E1323" t="s">
        <v>13</v>
      </c>
      <c r="F1323" t="s">
        <v>14</v>
      </c>
      <c r="G1323">
        <v>92</v>
      </c>
      <c r="H1323" s="11">
        <v>33</v>
      </c>
    </row>
    <row r="1324" spans="2:8" x14ac:dyDescent="0.25">
      <c r="B1324" s="8">
        <v>44755</v>
      </c>
      <c r="C1324" t="s">
        <v>11</v>
      </c>
      <c r="D1324" t="s">
        <v>12</v>
      </c>
      <c r="E1324" t="s">
        <v>13</v>
      </c>
      <c r="F1324" t="s">
        <v>16</v>
      </c>
      <c r="G1324">
        <v>57</v>
      </c>
      <c r="H1324" s="11">
        <v>148</v>
      </c>
    </row>
    <row r="1325" spans="2:8" x14ac:dyDescent="0.25">
      <c r="B1325" s="8">
        <v>44756</v>
      </c>
      <c r="C1325" t="s">
        <v>20</v>
      </c>
      <c r="D1325" t="s">
        <v>8</v>
      </c>
      <c r="E1325" t="s">
        <v>9</v>
      </c>
      <c r="F1325" t="s">
        <v>14</v>
      </c>
      <c r="G1325">
        <v>96</v>
      </c>
      <c r="H1325" s="11">
        <v>49</v>
      </c>
    </row>
    <row r="1326" spans="2:8" x14ac:dyDescent="0.25">
      <c r="B1326" s="8">
        <v>44756</v>
      </c>
      <c r="C1326" t="s">
        <v>19</v>
      </c>
      <c r="D1326" t="s">
        <v>12</v>
      </c>
      <c r="E1326" t="s">
        <v>13</v>
      </c>
      <c r="F1326" t="s">
        <v>16</v>
      </c>
      <c r="G1326">
        <v>69</v>
      </c>
      <c r="H1326" s="11">
        <v>67</v>
      </c>
    </row>
    <row r="1327" spans="2:8" x14ac:dyDescent="0.25">
      <c r="B1327" s="8">
        <v>44756</v>
      </c>
      <c r="C1327" t="s">
        <v>15</v>
      </c>
      <c r="D1327" t="s">
        <v>8</v>
      </c>
      <c r="E1327" t="s">
        <v>9</v>
      </c>
      <c r="F1327" t="s">
        <v>10</v>
      </c>
      <c r="G1327">
        <v>67</v>
      </c>
      <c r="H1327" s="11">
        <v>21</v>
      </c>
    </row>
    <row r="1328" spans="2:8" x14ac:dyDescent="0.25">
      <c r="B1328" s="8">
        <v>44756</v>
      </c>
      <c r="C1328" t="s">
        <v>20</v>
      </c>
      <c r="D1328" t="s">
        <v>8</v>
      </c>
      <c r="E1328" t="s">
        <v>9</v>
      </c>
      <c r="F1328" t="s">
        <v>14</v>
      </c>
      <c r="G1328">
        <v>48</v>
      </c>
      <c r="H1328" s="11">
        <v>37</v>
      </c>
    </row>
    <row r="1329" spans="2:8" x14ac:dyDescent="0.25">
      <c r="B1329" s="8">
        <v>44756</v>
      </c>
      <c r="C1329" t="s">
        <v>23</v>
      </c>
      <c r="D1329" t="s">
        <v>18</v>
      </c>
      <c r="E1329" t="s">
        <v>13</v>
      </c>
      <c r="F1329" t="s">
        <v>14</v>
      </c>
      <c r="G1329">
        <v>100</v>
      </c>
      <c r="H1329" s="11">
        <v>147</v>
      </c>
    </row>
    <row r="1330" spans="2:8" x14ac:dyDescent="0.25">
      <c r="B1330" s="8">
        <v>44756</v>
      </c>
      <c r="C1330" t="s">
        <v>26</v>
      </c>
      <c r="D1330" t="s">
        <v>12</v>
      </c>
      <c r="E1330" t="s">
        <v>9</v>
      </c>
      <c r="F1330" t="s">
        <v>14</v>
      </c>
      <c r="G1330">
        <v>99</v>
      </c>
      <c r="H1330" s="11">
        <v>76</v>
      </c>
    </row>
    <row r="1331" spans="2:8" x14ac:dyDescent="0.25">
      <c r="B1331" s="8">
        <v>44757</v>
      </c>
      <c r="C1331" t="s">
        <v>23</v>
      </c>
      <c r="D1331" t="s">
        <v>18</v>
      </c>
      <c r="E1331" t="s">
        <v>13</v>
      </c>
      <c r="F1331" t="s">
        <v>10</v>
      </c>
      <c r="G1331">
        <v>71</v>
      </c>
      <c r="H1331" s="11">
        <v>115</v>
      </c>
    </row>
    <row r="1332" spans="2:8" x14ac:dyDescent="0.25">
      <c r="B1332" s="8">
        <v>44757</v>
      </c>
      <c r="C1332" t="s">
        <v>11</v>
      </c>
      <c r="D1332" t="s">
        <v>12</v>
      </c>
      <c r="E1332" t="s">
        <v>9</v>
      </c>
      <c r="F1332" t="s">
        <v>10</v>
      </c>
      <c r="G1332">
        <v>90</v>
      </c>
      <c r="H1332" s="11">
        <v>86</v>
      </c>
    </row>
    <row r="1333" spans="2:8" x14ac:dyDescent="0.25">
      <c r="B1333" s="8">
        <v>44757</v>
      </c>
      <c r="C1333" t="s">
        <v>17</v>
      </c>
      <c r="D1333" t="s">
        <v>18</v>
      </c>
      <c r="E1333" t="s">
        <v>9</v>
      </c>
      <c r="F1333" t="s">
        <v>16</v>
      </c>
      <c r="G1333">
        <v>16</v>
      </c>
      <c r="H1333" s="11">
        <v>147</v>
      </c>
    </row>
    <row r="1334" spans="2:8" x14ac:dyDescent="0.25">
      <c r="B1334" s="8">
        <v>44757</v>
      </c>
      <c r="C1334" t="s">
        <v>20</v>
      </c>
      <c r="D1334" t="s">
        <v>8</v>
      </c>
      <c r="E1334" t="s">
        <v>13</v>
      </c>
      <c r="F1334" t="s">
        <v>10</v>
      </c>
      <c r="G1334">
        <v>75</v>
      </c>
      <c r="H1334" s="11">
        <v>134</v>
      </c>
    </row>
    <row r="1335" spans="2:8" x14ac:dyDescent="0.25">
      <c r="B1335" s="8">
        <v>44757</v>
      </c>
      <c r="C1335" t="s">
        <v>21</v>
      </c>
      <c r="D1335" t="s">
        <v>8</v>
      </c>
      <c r="E1335" t="s">
        <v>13</v>
      </c>
      <c r="F1335" t="s">
        <v>14</v>
      </c>
      <c r="G1335">
        <v>87</v>
      </c>
      <c r="H1335" s="11">
        <v>114</v>
      </c>
    </row>
    <row r="1336" spans="2:8" x14ac:dyDescent="0.25">
      <c r="B1336" s="8">
        <v>44757</v>
      </c>
      <c r="C1336" t="s">
        <v>20</v>
      </c>
      <c r="D1336" t="s">
        <v>8</v>
      </c>
      <c r="E1336" t="s">
        <v>13</v>
      </c>
      <c r="F1336" t="s">
        <v>16</v>
      </c>
      <c r="G1336">
        <v>70</v>
      </c>
      <c r="H1336" s="11">
        <v>90</v>
      </c>
    </row>
    <row r="1337" spans="2:8" x14ac:dyDescent="0.25">
      <c r="B1337" s="8">
        <v>44757</v>
      </c>
      <c r="C1337" t="s">
        <v>29</v>
      </c>
      <c r="D1337" t="s">
        <v>18</v>
      </c>
      <c r="E1337" t="s">
        <v>9</v>
      </c>
      <c r="F1337" t="s">
        <v>14</v>
      </c>
      <c r="G1337">
        <v>45</v>
      </c>
      <c r="H1337" s="11">
        <v>28</v>
      </c>
    </row>
    <row r="1338" spans="2:8" x14ac:dyDescent="0.25">
      <c r="B1338" s="8">
        <v>44757</v>
      </c>
      <c r="C1338" t="s">
        <v>29</v>
      </c>
      <c r="D1338" t="s">
        <v>18</v>
      </c>
      <c r="E1338" t="s">
        <v>9</v>
      </c>
      <c r="F1338" t="s">
        <v>10</v>
      </c>
      <c r="G1338">
        <v>33</v>
      </c>
      <c r="H1338" s="11">
        <v>29</v>
      </c>
    </row>
    <row r="1339" spans="2:8" x14ac:dyDescent="0.25">
      <c r="B1339" s="8">
        <v>44758</v>
      </c>
      <c r="C1339" t="s">
        <v>20</v>
      </c>
      <c r="D1339" t="s">
        <v>8</v>
      </c>
      <c r="E1339" t="s">
        <v>9</v>
      </c>
      <c r="F1339" t="s">
        <v>10</v>
      </c>
      <c r="G1339">
        <v>89</v>
      </c>
      <c r="H1339" s="11">
        <v>26</v>
      </c>
    </row>
    <row r="1340" spans="2:8" x14ac:dyDescent="0.25">
      <c r="B1340" s="8">
        <v>44758</v>
      </c>
      <c r="C1340" t="s">
        <v>15</v>
      </c>
      <c r="D1340" t="s">
        <v>8</v>
      </c>
      <c r="E1340" t="s">
        <v>9</v>
      </c>
      <c r="F1340" t="s">
        <v>10</v>
      </c>
      <c r="G1340">
        <v>20</v>
      </c>
      <c r="H1340" s="11">
        <v>114</v>
      </c>
    </row>
    <row r="1341" spans="2:8" x14ac:dyDescent="0.25">
      <c r="B1341" s="8">
        <v>44758</v>
      </c>
      <c r="C1341" t="s">
        <v>26</v>
      </c>
      <c r="D1341" t="s">
        <v>12</v>
      </c>
      <c r="E1341" t="s">
        <v>13</v>
      </c>
      <c r="F1341" t="s">
        <v>14</v>
      </c>
      <c r="G1341">
        <v>47</v>
      </c>
      <c r="H1341" s="11">
        <v>132</v>
      </c>
    </row>
    <row r="1342" spans="2:8" x14ac:dyDescent="0.25">
      <c r="B1342" s="8">
        <v>44758</v>
      </c>
      <c r="C1342" t="s">
        <v>7</v>
      </c>
      <c r="D1342" t="s">
        <v>8</v>
      </c>
      <c r="E1342" t="s">
        <v>9</v>
      </c>
      <c r="F1342" t="s">
        <v>10</v>
      </c>
      <c r="G1342">
        <v>49</v>
      </c>
      <c r="H1342" s="11">
        <v>141</v>
      </c>
    </row>
    <row r="1343" spans="2:8" x14ac:dyDescent="0.25">
      <c r="B1343" s="8">
        <v>44758</v>
      </c>
      <c r="C1343" t="s">
        <v>15</v>
      </c>
      <c r="D1343" t="s">
        <v>8</v>
      </c>
      <c r="E1343" t="s">
        <v>13</v>
      </c>
      <c r="F1343" t="s">
        <v>16</v>
      </c>
      <c r="G1343">
        <v>74</v>
      </c>
      <c r="H1343" s="11">
        <v>109</v>
      </c>
    </row>
    <row r="1344" spans="2:8" x14ac:dyDescent="0.25">
      <c r="B1344" s="8">
        <v>44758</v>
      </c>
      <c r="C1344" t="s">
        <v>20</v>
      </c>
      <c r="D1344" t="s">
        <v>8</v>
      </c>
      <c r="E1344" t="s">
        <v>9</v>
      </c>
      <c r="F1344" t="s">
        <v>14</v>
      </c>
      <c r="G1344">
        <v>36</v>
      </c>
      <c r="H1344" s="11">
        <v>147</v>
      </c>
    </row>
    <row r="1345" spans="2:8" x14ac:dyDescent="0.25">
      <c r="B1345" s="8">
        <v>44758</v>
      </c>
      <c r="C1345" t="s">
        <v>22</v>
      </c>
      <c r="D1345" t="s">
        <v>12</v>
      </c>
      <c r="E1345" t="s">
        <v>13</v>
      </c>
      <c r="F1345" t="s">
        <v>14</v>
      </c>
      <c r="G1345">
        <v>30</v>
      </c>
      <c r="H1345" s="11">
        <v>22</v>
      </c>
    </row>
    <row r="1346" spans="2:8" x14ac:dyDescent="0.25">
      <c r="B1346" s="8">
        <v>44759</v>
      </c>
      <c r="C1346" t="s">
        <v>17</v>
      </c>
      <c r="D1346" t="s">
        <v>18</v>
      </c>
      <c r="E1346" t="s">
        <v>9</v>
      </c>
      <c r="F1346" t="s">
        <v>16</v>
      </c>
      <c r="G1346">
        <v>96</v>
      </c>
      <c r="H1346" s="11">
        <v>136</v>
      </c>
    </row>
    <row r="1347" spans="2:8" x14ac:dyDescent="0.25">
      <c r="B1347" s="8">
        <v>44759</v>
      </c>
      <c r="C1347" t="s">
        <v>15</v>
      </c>
      <c r="D1347" t="s">
        <v>8</v>
      </c>
      <c r="E1347" t="s">
        <v>9</v>
      </c>
      <c r="F1347" t="s">
        <v>10</v>
      </c>
      <c r="G1347">
        <v>36</v>
      </c>
      <c r="H1347" s="11">
        <v>30</v>
      </c>
    </row>
    <row r="1348" spans="2:8" x14ac:dyDescent="0.25">
      <c r="B1348" s="8">
        <v>44759</v>
      </c>
      <c r="C1348" t="s">
        <v>21</v>
      </c>
      <c r="D1348" t="s">
        <v>8</v>
      </c>
      <c r="E1348" t="s">
        <v>13</v>
      </c>
      <c r="F1348" t="s">
        <v>16</v>
      </c>
      <c r="G1348">
        <v>29</v>
      </c>
      <c r="H1348" s="11">
        <v>103</v>
      </c>
    </row>
    <row r="1349" spans="2:8" x14ac:dyDescent="0.25">
      <c r="B1349" s="8">
        <v>44759</v>
      </c>
      <c r="C1349" t="s">
        <v>28</v>
      </c>
      <c r="D1349" t="s">
        <v>8</v>
      </c>
      <c r="E1349" t="s">
        <v>13</v>
      </c>
      <c r="F1349" t="s">
        <v>10</v>
      </c>
      <c r="G1349">
        <v>31</v>
      </c>
      <c r="H1349" s="11">
        <v>32</v>
      </c>
    </row>
    <row r="1350" spans="2:8" x14ac:dyDescent="0.25">
      <c r="B1350" s="8">
        <v>44760</v>
      </c>
      <c r="C1350" t="s">
        <v>23</v>
      </c>
      <c r="D1350" t="s">
        <v>18</v>
      </c>
      <c r="E1350" t="s">
        <v>13</v>
      </c>
      <c r="F1350" t="s">
        <v>10</v>
      </c>
      <c r="G1350">
        <v>53</v>
      </c>
      <c r="H1350" s="11">
        <v>150</v>
      </c>
    </row>
    <row r="1351" spans="2:8" x14ac:dyDescent="0.25">
      <c r="B1351" s="8">
        <v>44760</v>
      </c>
      <c r="C1351" t="s">
        <v>28</v>
      </c>
      <c r="D1351" t="s">
        <v>8</v>
      </c>
      <c r="E1351" t="s">
        <v>13</v>
      </c>
      <c r="F1351" t="s">
        <v>10</v>
      </c>
      <c r="G1351">
        <v>39</v>
      </c>
      <c r="H1351" s="11">
        <v>105</v>
      </c>
    </row>
    <row r="1352" spans="2:8" x14ac:dyDescent="0.25">
      <c r="B1352" s="8">
        <v>44760</v>
      </c>
      <c r="C1352" t="s">
        <v>28</v>
      </c>
      <c r="D1352" t="s">
        <v>8</v>
      </c>
      <c r="E1352" t="s">
        <v>9</v>
      </c>
      <c r="F1352" t="s">
        <v>14</v>
      </c>
      <c r="G1352">
        <v>31</v>
      </c>
      <c r="H1352" s="11">
        <v>91</v>
      </c>
    </row>
    <row r="1353" spans="2:8" x14ac:dyDescent="0.25">
      <c r="B1353" s="8">
        <v>44760</v>
      </c>
      <c r="C1353" t="s">
        <v>27</v>
      </c>
      <c r="D1353" t="s">
        <v>18</v>
      </c>
      <c r="E1353" t="s">
        <v>13</v>
      </c>
      <c r="F1353" t="s">
        <v>10</v>
      </c>
      <c r="G1353">
        <v>15</v>
      </c>
      <c r="H1353" s="11">
        <v>36</v>
      </c>
    </row>
    <row r="1354" spans="2:8" x14ac:dyDescent="0.25">
      <c r="B1354" s="8">
        <v>44760</v>
      </c>
      <c r="C1354" t="s">
        <v>11</v>
      </c>
      <c r="D1354" t="s">
        <v>12</v>
      </c>
      <c r="E1354" t="s">
        <v>9</v>
      </c>
      <c r="F1354" t="s">
        <v>14</v>
      </c>
      <c r="G1354">
        <v>97</v>
      </c>
      <c r="H1354" s="11">
        <v>58</v>
      </c>
    </row>
    <row r="1355" spans="2:8" x14ac:dyDescent="0.25">
      <c r="B1355" s="8">
        <v>44760</v>
      </c>
      <c r="C1355" t="s">
        <v>19</v>
      </c>
      <c r="D1355" t="s">
        <v>12</v>
      </c>
      <c r="E1355" t="s">
        <v>9</v>
      </c>
      <c r="F1355" t="s">
        <v>14</v>
      </c>
      <c r="G1355">
        <v>22</v>
      </c>
      <c r="H1355" s="11">
        <v>51</v>
      </c>
    </row>
    <row r="1356" spans="2:8" x14ac:dyDescent="0.25">
      <c r="B1356" s="8">
        <v>44761</v>
      </c>
      <c r="C1356" t="s">
        <v>23</v>
      </c>
      <c r="D1356" t="s">
        <v>18</v>
      </c>
      <c r="E1356" t="s">
        <v>9</v>
      </c>
      <c r="F1356" t="s">
        <v>10</v>
      </c>
      <c r="G1356">
        <v>56</v>
      </c>
      <c r="H1356" s="11">
        <v>122</v>
      </c>
    </row>
    <row r="1357" spans="2:8" x14ac:dyDescent="0.25">
      <c r="B1357" s="8">
        <v>44761</v>
      </c>
      <c r="C1357" t="s">
        <v>19</v>
      </c>
      <c r="D1357" t="s">
        <v>12</v>
      </c>
      <c r="E1357" t="s">
        <v>9</v>
      </c>
      <c r="F1357" t="s">
        <v>16</v>
      </c>
      <c r="G1357">
        <v>16</v>
      </c>
      <c r="H1357" s="11">
        <v>132</v>
      </c>
    </row>
    <row r="1358" spans="2:8" x14ac:dyDescent="0.25">
      <c r="B1358" s="8">
        <v>44761</v>
      </c>
      <c r="C1358" t="s">
        <v>19</v>
      </c>
      <c r="D1358" t="s">
        <v>12</v>
      </c>
      <c r="E1358" t="s">
        <v>9</v>
      </c>
      <c r="F1358" t="s">
        <v>14</v>
      </c>
      <c r="G1358">
        <v>64</v>
      </c>
      <c r="H1358" s="11">
        <v>86</v>
      </c>
    </row>
    <row r="1359" spans="2:8" x14ac:dyDescent="0.25">
      <c r="B1359" s="8">
        <v>44762</v>
      </c>
      <c r="C1359" t="s">
        <v>22</v>
      </c>
      <c r="D1359" t="s">
        <v>12</v>
      </c>
      <c r="E1359" t="s">
        <v>13</v>
      </c>
      <c r="F1359" t="s">
        <v>16</v>
      </c>
      <c r="G1359">
        <v>28</v>
      </c>
      <c r="H1359" s="11">
        <v>103</v>
      </c>
    </row>
    <row r="1360" spans="2:8" x14ac:dyDescent="0.25">
      <c r="B1360" s="8">
        <v>44762</v>
      </c>
      <c r="C1360" t="s">
        <v>29</v>
      </c>
      <c r="D1360" t="s">
        <v>18</v>
      </c>
      <c r="E1360" t="s">
        <v>13</v>
      </c>
      <c r="F1360" t="s">
        <v>14</v>
      </c>
      <c r="G1360">
        <v>68</v>
      </c>
      <c r="H1360" s="11">
        <v>59</v>
      </c>
    </row>
    <row r="1361" spans="2:8" x14ac:dyDescent="0.25">
      <c r="B1361" s="8">
        <v>44762</v>
      </c>
      <c r="C1361" t="s">
        <v>11</v>
      </c>
      <c r="D1361" t="s">
        <v>12</v>
      </c>
      <c r="E1361" t="s">
        <v>9</v>
      </c>
      <c r="F1361" t="s">
        <v>10</v>
      </c>
      <c r="G1361">
        <v>93</v>
      </c>
      <c r="H1361" s="11">
        <v>40</v>
      </c>
    </row>
    <row r="1362" spans="2:8" x14ac:dyDescent="0.25">
      <c r="B1362" s="8">
        <v>44762</v>
      </c>
      <c r="C1362" t="s">
        <v>15</v>
      </c>
      <c r="D1362" t="s">
        <v>8</v>
      </c>
      <c r="E1362" t="s">
        <v>9</v>
      </c>
      <c r="F1362" t="s">
        <v>14</v>
      </c>
      <c r="G1362">
        <v>15</v>
      </c>
      <c r="H1362" s="11">
        <v>122</v>
      </c>
    </row>
    <row r="1363" spans="2:8" x14ac:dyDescent="0.25">
      <c r="B1363" s="8">
        <v>44762</v>
      </c>
      <c r="C1363" t="s">
        <v>20</v>
      </c>
      <c r="D1363" t="s">
        <v>8</v>
      </c>
      <c r="E1363" t="s">
        <v>9</v>
      </c>
      <c r="F1363" t="s">
        <v>14</v>
      </c>
      <c r="G1363">
        <v>21</v>
      </c>
      <c r="H1363" s="11">
        <v>86</v>
      </c>
    </row>
    <row r="1364" spans="2:8" x14ac:dyDescent="0.25">
      <c r="B1364" s="8">
        <v>44762</v>
      </c>
      <c r="C1364" t="s">
        <v>21</v>
      </c>
      <c r="D1364" t="s">
        <v>8</v>
      </c>
      <c r="E1364" t="s">
        <v>9</v>
      </c>
      <c r="F1364" t="s">
        <v>14</v>
      </c>
      <c r="G1364">
        <v>99</v>
      </c>
      <c r="H1364" s="11">
        <v>126</v>
      </c>
    </row>
    <row r="1365" spans="2:8" x14ac:dyDescent="0.25">
      <c r="B1365" s="8">
        <v>44762</v>
      </c>
      <c r="C1365" t="s">
        <v>27</v>
      </c>
      <c r="D1365" t="s">
        <v>18</v>
      </c>
      <c r="E1365" t="s">
        <v>13</v>
      </c>
      <c r="F1365" t="s">
        <v>14</v>
      </c>
      <c r="G1365">
        <v>20</v>
      </c>
      <c r="H1365" s="11">
        <v>123</v>
      </c>
    </row>
    <row r="1366" spans="2:8" x14ac:dyDescent="0.25">
      <c r="B1366" s="8">
        <v>44762</v>
      </c>
      <c r="C1366" t="s">
        <v>23</v>
      </c>
      <c r="D1366" t="s">
        <v>18</v>
      </c>
      <c r="E1366" t="s">
        <v>13</v>
      </c>
      <c r="F1366" t="s">
        <v>14</v>
      </c>
      <c r="G1366">
        <v>57</v>
      </c>
      <c r="H1366" s="11">
        <v>89</v>
      </c>
    </row>
    <row r="1367" spans="2:8" x14ac:dyDescent="0.25">
      <c r="B1367" s="8">
        <v>44762</v>
      </c>
      <c r="C1367" t="s">
        <v>26</v>
      </c>
      <c r="D1367" t="s">
        <v>12</v>
      </c>
      <c r="E1367" t="s">
        <v>9</v>
      </c>
      <c r="F1367" t="s">
        <v>16</v>
      </c>
      <c r="G1367">
        <v>97</v>
      </c>
      <c r="H1367" s="11">
        <v>146</v>
      </c>
    </row>
    <row r="1368" spans="2:8" x14ac:dyDescent="0.25">
      <c r="B1368" s="8">
        <v>44762</v>
      </c>
      <c r="C1368" t="s">
        <v>29</v>
      </c>
      <c r="D1368" t="s">
        <v>18</v>
      </c>
      <c r="E1368" t="s">
        <v>9</v>
      </c>
      <c r="F1368" t="s">
        <v>16</v>
      </c>
      <c r="G1368">
        <v>60</v>
      </c>
      <c r="H1368" s="11">
        <v>66</v>
      </c>
    </row>
    <row r="1369" spans="2:8" x14ac:dyDescent="0.25">
      <c r="B1369" s="8">
        <v>44762</v>
      </c>
      <c r="C1369" t="s">
        <v>22</v>
      </c>
      <c r="D1369" t="s">
        <v>12</v>
      </c>
      <c r="E1369" t="s">
        <v>13</v>
      </c>
      <c r="F1369" t="s">
        <v>10</v>
      </c>
      <c r="G1369">
        <v>54</v>
      </c>
      <c r="H1369" s="11">
        <v>136</v>
      </c>
    </row>
    <row r="1370" spans="2:8" x14ac:dyDescent="0.25">
      <c r="B1370" s="8">
        <v>44762</v>
      </c>
      <c r="C1370" t="s">
        <v>11</v>
      </c>
      <c r="D1370" t="s">
        <v>12</v>
      </c>
      <c r="E1370" t="s">
        <v>9</v>
      </c>
      <c r="F1370" t="s">
        <v>14</v>
      </c>
      <c r="G1370">
        <v>86</v>
      </c>
      <c r="H1370" s="11">
        <v>63</v>
      </c>
    </row>
    <row r="1371" spans="2:8" x14ac:dyDescent="0.25">
      <c r="B1371" s="8">
        <v>44762</v>
      </c>
      <c r="C1371" t="s">
        <v>21</v>
      </c>
      <c r="D1371" t="s">
        <v>8</v>
      </c>
      <c r="E1371" t="s">
        <v>9</v>
      </c>
      <c r="F1371" t="s">
        <v>14</v>
      </c>
      <c r="G1371">
        <v>50</v>
      </c>
      <c r="H1371" s="11">
        <v>136</v>
      </c>
    </row>
    <row r="1372" spans="2:8" x14ac:dyDescent="0.25">
      <c r="B1372" s="8">
        <v>44762</v>
      </c>
      <c r="C1372" t="s">
        <v>21</v>
      </c>
      <c r="D1372" t="s">
        <v>8</v>
      </c>
      <c r="E1372" t="s">
        <v>9</v>
      </c>
      <c r="F1372" t="s">
        <v>16</v>
      </c>
      <c r="G1372">
        <v>34</v>
      </c>
      <c r="H1372" s="11">
        <v>44</v>
      </c>
    </row>
    <row r="1373" spans="2:8" x14ac:dyDescent="0.25">
      <c r="B1373" s="8">
        <v>44763</v>
      </c>
      <c r="C1373" t="s">
        <v>22</v>
      </c>
      <c r="D1373" t="s">
        <v>12</v>
      </c>
      <c r="E1373" t="s">
        <v>13</v>
      </c>
      <c r="F1373" t="s">
        <v>16</v>
      </c>
      <c r="G1373">
        <v>92</v>
      </c>
      <c r="H1373" s="11">
        <v>47</v>
      </c>
    </row>
    <row r="1374" spans="2:8" x14ac:dyDescent="0.25">
      <c r="B1374" s="8">
        <v>44763</v>
      </c>
      <c r="C1374" t="s">
        <v>25</v>
      </c>
      <c r="D1374" t="s">
        <v>12</v>
      </c>
      <c r="E1374" t="s">
        <v>9</v>
      </c>
      <c r="F1374" t="s">
        <v>14</v>
      </c>
      <c r="G1374">
        <v>58</v>
      </c>
      <c r="H1374" s="11">
        <v>45</v>
      </c>
    </row>
    <row r="1375" spans="2:8" x14ac:dyDescent="0.25">
      <c r="B1375" s="8">
        <v>44763</v>
      </c>
      <c r="C1375" t="s">
        <v>19</v>
      </c>
      <c r="D1375" t="s">
        <v>12</v>
      </c>
      <c r="E1375" t="s">
        <v>9</v>
      </c>
      <c r="F1375" t="s">
        <v>14</v>
      </c>
      <c r="G1375">
        <v>39</v>
      </c>
      <c r="H1375" s="11">
        <v>93</v>
      </c>
    </row>
    <row r="1376" spans="2:8" x14ac:dyDescent="0.25">
      <c r="B1376" s="8">
        <v>44763</v>
      </c>
      <c r="C1376" t="s">
        <v>29</v>
      </c>
      <c r="D1376" t="s">
        <v>18</v>
      </c>
      <c r="E1376" t="s">
        <v>13</v>
      </c>
      <c r="F1376" t="s">
        <v>14</v>
      </c>
      <c r="G1376">
        <v>20</v>
      </c>
      <c r="H1376" s="11">
        <v>104</v>
      </c>
    </row>
    <row r="1377" spans="2:8" x14ac:dyDescent="0.25">
      <c r="B1377" s="8">
        <v>44763</v>
      </c>
      <c r="C1377" t="s">
        <v>22</v>
      </c>
      <c r="D1377" t="s">
        <v>12</v>
      </c>
      <c r="E1377" t="s">
        <v>9</v>
      </c>
      <c r="F1377" t="s">
        <v>14</v>
      </c>
      <c r="G1377">
        <v>48</v>
      </c>
      <c r="H1377" s="11">
        <v>78</v>
      </c>
    </row>
    <row r="1378" spans="2:8" x14ac:dyDescent="0.25">
      <c r="B1378" s="8">
        <v>44764</v>
      </c>
      <c r="C1378" t="s">
        <v>7</v>
      </c>
      <c r="D1378" t="s">
        <v>8</v>
      </c>
      <c r="E1378" t="s">
        <v>13</v>
      </c>
      <c r="F1378" t="s">
        <v>10</v>
      </c>
      <c r="G1378">
        <v>67</v>
      </c>
      <c r="H1378" s="11">
        <v>29</v>
      </c>
    </row>
    <row r="1379" spans="2:8" x14ac:dyDescent="0.25">
      <c r="B1379" s="8">
        <v>44764</v>
      </c>
      <c r="C1379" t="s">
        <v>22</v>
      </c>
      <c r="D1379" t="s">
        <v>12</v>
      </c>
      <c r="E1379" t="s">
        <v>9</v>
      </c>
      <c r="F1379" t="s">
        <v>16</v>
      </c>
      <c r="G1379">
        <v>32</v>
      </c>
      <c r="H1379" s="11">
        <v>83</v>
      </c>
    </row>
    <row r="1380" spans="2:8" x14ac:dyDescent="0.25">
      <c r="B1380" s="8">
        <v>44764</v>
      </c>
      <c r="C1380" t="s">
        <v>23</v>
      </c>
      <c r="D1380" t="s">
        <v>18</v>
      </c>
      <c r="E1380" t="s">
        <v>13</v>
      </c>
      <c r="F1380" t="s">
        <v>14</v>
      </c>
      <c r="G1380">
        <v>17</v>
      </c>
      <c r="H1380" s="11">
        <v>73</v>
      </c>
    </row>
    <row r="1381" spans="2:8" x14ac:dyDescent="0.25">
      <c r="B1381" s="8">
        <v>44764</v>
      </c>
      <c r="C1381" t="s">
        <v>15</v>
      </c>
      <c r="D1381" t="s">
        <v>8</v>
      </c>
      <c r="E1381" t="s">
        <v>9</v>
      </c>
      <c r="F1381" t="s">
        <v>10</v>
      </c>
      <c r="G1381">
        <v>28</v>
      </c>
      <c r="H1381" s="11">
        <v>125</v>
      </c>
    </row>
    <row r="1382" spans="2:8" x14ac:dyDescent="0.25">
      <c r="B1382" s="8">
        <v>44764</v>
      </c>
      <c r="C1382" t="s">
        <v>22</v>
      </c>
      <c r="D1382" t="s">
        <v>12</v>
      </c>
      <c r="E1382" t="s">
        <v>13</v>
      </c>
      <c r="F1382" t="s">
        <v>14</v>
      </c>
      <c r="G1382">
        <v>64</v>
      </c>
      <c r="H1382" s="11">
        <v>77</v>
      </c>
    </row>
    <row r="1383" spans="2:8" x14ac:dyDescent="0.25">
      <c r="B1383" s="8">
        <v>44764</v>
      </c>
      <c r="C1383" t="s">
        <v>19</v>
      </c>
      <c r="D1383" t="s">
        <v>12</v>
      </c>
      <c r="E1383" t="s">
        <v>13</v>
      </c>
      <c r="F1383" t="s">
        <v>16</v>
      </c>
      <c r="G1383">
        <v>58</v>
      </c>
      <c r="H1383" s="11">
        <v>98</v>
      </c>
    </row>
    <row r="1384" spans="2:8" x14ac:dyDescent="0.25">
      <c r="B1384" s="8">
        <v>44764</v>
      </c>
      <c r="C1384" t="s">
        <v>17</v>
      </c>
      <c r="D1384" t="s">
        <v>18</v>
      </c>
      <c r="E1384" t="s">
        <v>9</v>
      </c>
      <c r="F1384" t="s">
        <v>10</v>
      </c>
      <c r="G1384">
        <v>13</v>
      </c>
      <c r="H1384" s="11">
        <v>138</v>
      </c>
    </row>
    <row r="1385" spans="2:8" x14ac:dyDescent="0.25">
      <c r="B1385" s="8">
        <v>44764</v>
      </c>
      <c r="C1385" t="s">
        <v>28</v>
      </c>
      <c r="D1385" t="s">
        <v>8</v>
      </c>
      <c r="E1385" t="s">
        <v>9</v>
      </c>
      <c r="F1385" t="s">
        <v>14</v>
      </c>
      <c r="G1385">
        <v>49</v>
      </c>
      <c r="H1385" s="11">
        <v>61</v>
      </c>
    </row>
    <row r="1386" spans="2:8" x14ac:dyDescent="0.25">
      <c r="B1386" s="8">
        <v>44764</v>
      </c>
      <c r="C1386" t="s">
        <v>24</v>
      </c>
      <c r="D1386" t="s">
        <v>18</v>
      </c>
      <c r="E1386" t="s">
        <v>13</v>
      </c>
      <c r="F1386" t="s">
        <v>16</v>
      </c>
      <c r="G1386">
        <v>64</v>
      </c>
      <c r="H1386" s="11">
        <v>142</v>
      </c>
    </row>
    <row r="1387" spans="2:8" x14ac:dyDescent="0.25">
      <c r="B1387" s="8">
        <v>44765</v>
      </c>
      <c r="C1387" t="s">
        <v>15</v>
      </c>
      <c r="D1387" t="s">
        <v>8</v>
      </c>
      <c r="E1387" t="s">
        <v>13</v>
      </c>
      <c r="F1387" t="s">
        <v>16</v>
      </c>
      <c r="G1387">
        <v>96</v>
      </c>
      <c r="H1387" s="11">
        <v>56</v>
      </c>
    </row>
    <row r="1388" spans="2:8" x14ac:dyDescent="0.25">
      <c r="B1388" s="8">
        <v>44765</v>
      </c>
      <c r="C1388" t="s">
        <v>19</v>
      </c>
      <c r="D1388" t="s">
        <v>12</v>
      </c>
      <c r="E1388" t="s">
        <v>9</v>
      </c>
      <c r="F1388" t="s">
        <v>14</v>
      </c>
      <c r="G1388">
        <v>91</v>
      </c>
      <c r="H1388" s="11">
        <v>107</v>
      </c>
    </row>
    <row r="1389" spans="2:8" x14ac:dyDescent="0.25">
      <c r="B1389" s="8">
        <v>44765</v>
      </c>
      <c r="C1389" t="s">
        <v>25</v>
      </c>
      <c r="D1389" t="s">
        <v>12</v>
      </c>
      <c r="E1389" t="s">
        <v>9</v>
      </c>
      <c r="F1389" t="s">
        <v>14</v>
      </c>
      <c r="G1389">
        <v>72</v>
      </c>
      <c r="H1389" s="11">
        <v>85</v>
      </c>
    </row>
    <row r="1390" spans="2:8" x14ac:dyDescent="0.25">
      <c r="B1390" s="8">
        <v>44765</v>
      </c>
      <c r="C1390" t="s">
        <v>26</v>
      </c>
      <c r="D1390" t="s">
        <v>12</v>
      </c>
      <c r="E1390" t="s">
        <v>9</v>
      </c>
      <c r="F1390" t="s">
        <v>16</v>
      </c>
      <c r="G1390">
        <v>48</v>
      </c>
      <c r="H1390" s="11">
        <v>33</v>
      </c>
    </row>
    <row r="1391" spans="2:8" x14ac:dyDescent="0.25">
      <c r="B1391" s="8">
        <v>44765</v>
      </c>
      <c r="C1391" t="s">
        <v>26</v>
      </c>
      <c r="D1391" t="s">
        <v>12</v>
      </c>
      <c r="E1391" t="s">
        <v>9</v>
      </c>
      <c r="F1391" t="s">
        <v>14</v>
      </c>
      <c r="G1391">
        <v>25</v>
      </c>
      <c r="H1391" s="11">
        <v>70</v>
      </c>
    </row>
    <row r="1392" spans="2:8" x14ac:dyDescent="0.25">
      <c r="B1392" s="8">
        <v>44765</v>
      </c>
      <c r="C1392" t="s">
        <v>19</v>
      </c>
      <c r="D1392" t="s">
        <v>12</v>
      </c>
      <c r="E1392" t="s">
        <v>13</v>
      </c>
      <c r="F1392" t="s">
        <v>16</v>
      </c>
      <c r="G1392">
        <v>72</v>
      </c>
      <c r="H1392" s="11">
        <v>56</v>
      </c>
    </row>
    <row r="1393" spans="2:8" x14ac:dyDescent="0.25">
      <c r="B1393" s="8">
        <v>44765</v>
      </c>
      <c r="C1393" t="s">
        <v>7</v>
      </c>
      <c r="D1393" t="s">
        <v>8</v>
      </c>
      <c r="E1393" t="s">
        <v>13</v>
      </c>
      <c r="F1393" t="s">
        <v>16</v>
      </c>
      <c r="G1393">
        <v>86</v>
      </c>
      <c r="H1393" s="11">
        <v>56</v>
      </c>
    </row>
    <row r="1394" spans="2:8" x14ac:dyDescent="0.25">
      <c r="B1394" s="8">
        <v>44765</v>
      </c>
      <c r="C1394" t="s">
        <v>22</v>
      </c>
      <c r="D1394" t="s">
        <v>12</v>
      </c>
      <c r="E1394" t="s">
        <v>13</v>
      </c>
      <c r="F1394" t="s">
        <v>14</v>
      </c>
      <c r="G1394">
        <v>99</v>
      </c>
      <c r="H1394" s="11">
        <v>100</v>
      </c>
    </row>
    <row r="1395" spans="2:8" x14ac:dyDescent="0.25">
      <c r="B1395" s="8">
        <v>44766</v>
      </c>
      <c r="C1395" t="s">
        <v>22</v>
      </c>
      <c r="D1395" t="s">
        <v>12</v>
      </c>
      <c r="E1395" t="s">
        <v>13</v>
      </c>
      <c r="F1395" t="s">
        <v>14</v>
      </c>
      <c r="G1395">
        <v>75</v>
      </c>
      <c r="H1395" s="11">
        <v>116</v>
      </c>
    </row>
    <row r="1396" spans="2:8" x14ac:dyDescent="0.25">
      <c r="B1396" s="8">
        <v>44766</v>
      </c>
      <c r="C1396" t="s">
        <v>26</v>
      </c>
      <c r="D1396" t="s">
        <v>12</v>
      </c>
      <c r="E1396" t="s">
        <v>9</v>
      </c>
      <c r="F1396" t="s">
        <v>10</v>
      </c>
      <c r="G1396">
        <v>91</v>
      </c>
      <c r="H1396" s="11">
        <v>60</v>
      </c>
    </row>
    <row r="1397" spans="2:8" x14ac:dyDescent="0.25">
      <c r="B1397" s="8">
        <v>44766</v>
      </c>
      <c r="C1397" t="s">
        <v>17</v>
      </c>
      <c r="D1397" t="s">
        <v>18</v>
      </c>
      <c r="E1397" t="s">
        <v>9</v>
      </c>
      <c r="F1397" t="s">
        <v>10</v>
      </c>
      <c r="G1397">
        <v>40</v>
      </c>
      <c r="H1397" s="11">
        <v>95</v>
      </c>
    </row>
    <row r="1398" spans="2:8" x14ac:dyDescent="0.25">
      <c r="B1398" s="8">
        <v>44766</v>
      </c>
      <c r="C1398" t="s">
        <v>23</v>
      </c>
      <c r="D1398" t="s">
        <v>18</v>
      </c>
      <c r="E1398" t="s">
        <v>9</v>
      </c>
      <c r="F1398" t="s">
        <v>14</v>
      </c>
      <c r="G1398">
        <v>82</v>
      </c>
      <c r="H1398" s="11">
        <v>83</v>
      </c>
    </row>
    <row r="1399" spans="2:8" x14ac:dyDescent="0.25">
      <c r="B1399" s="8">
        <v>44766</v>
      </c>
      <c r="C1399" t="s">
        <v>28</v>
      </c>
      <c r="D1399" t="s">
        <v>8</v>
      </c>
      <c r="E1399" t="s">
        <v>13</v>
      </c>
      <c r="F1399" t="s">
        <v>16</v>
      </c>
      <c r="G1399">
        <v>42</v>
      </c>
      <c r="H1399" s="11">
        <v>138</v>
      </c>
    </row>
    <row r="1400" spans="2:8" x14ac:dyDescent="0.25">
      <c r="B1400" s="8">
        <v>44766</v>
      </c>
      <c r="C1400" t="s">
        <v>20</v>
      </c>
      <c r="D1400" t="s">
        <v>8</v>
      </c>
      <c r="E1400" t="s">
        <v>9</v>
      </c>
      <c r="F1400" t="s">
        <v>14</v>
      </c>
      <c r="G1400">
        <v>58</v>
      </c>
      <c r="H1400" s="11">
        <v>97</v>
      </c>
    </row>
    <row r="1401" spans="2:8" x14ac:dyDescent="0.25">
      <c r="B1401" s="8">
        <v>44767</v>
      </c>
      <c r="C1401" t="s">
        <v>27</v>
      </c>
      <c r="D1401" t="s">
        <v>18</v>
      </c>
      <c r="E1401" t="s">
        <v>13</v>
      </c>
      <c r="F1401" t="s">
        <v>14</v>
      </c>
      <c r="G1401">
        <v>61</v>
      </c>
      <c r="H1401" s="11">
        <v>139</v>
      </c>
    </row>
    <row r="1402" spans="2:8" x14ac:dyDescent="0.25">
      <c r="B1402" s="8">
        <v>44767</v>
      </c>
      <c r="C1402" t="s">
        <v>27</v>
      </c>
      <c r="D1402" t="s">
        <v>18</v>
      </c>
      <c r="E1402" t="s">
        <v>9</v>
      </c>
      <c r="F1402" t="s">
        <v>14</v>
      </c>
      <c r="G1402">
        <v>87</v>
      </c>
      <c r="H1402" s="11">
        <v>57</v>
      </c>
    </row>
    <row r="1403" spans="2:8" x14ac:dyDescent="0.25">
      <c r="B1403" s="8">
        <v>44767</v>
      </c>
      <c r="C1403" t="s">
        <v>28</v>
      </c>
      <c r="D1403" t="s">
        <v>8</v>
      </c>
      <c r="E1403" t="s">
        <v>9</v>
      </c>
      <c r="F1403" t="s">
        <v>10</v>
      </c>
      <c r="G1403">
        <v>63</v>
      </c>
      <c r="H1403" s="11">
        <v>100</v>
      </c>
    </row>
    <row r="1404" spans="2:8" x14ac:dyDescent="0.25">
      <c r="B1404" s="8">
        <v>44767</v>
      </c>
      <c r="C1404" t="s">
        <v>11</v>
      </c>
      <c r="D1404" t="s">
        <v>12</v>
      </c>
      <c r="E1404" t="s">
        <v>9</v>
      </c>
      <c r="F1404" t="s">
        <v>14</v>
      </c>
      <c r="G1404">
        <v>71</v>
      </c>
      <c r="H1404" s="11">
        <v>123</v>
      </c>
    </row>
    <row r="1405" spans="2:8" x14ac:dyDescent="0.25">
      <c r="B1405" s="8">
        <v>44767</v>
      </c>
      <c r="C1405" t="s">
        <v>29</v>
      </c>
      <c r="D1405" t="s">
        <v>18</v>
      </c>
      <c r="E1405" t="s">
        <v>9</v>
      </c>
      <c r="F1405" t="s">
        <v>16</v>
      </c>
      <c r="G1405">
        <v>61</v>
      </c>
      <c r="H1405" s="11">
        <v>124</v>
      </c>
    </row>
    <row r="1406" spans="2:8" x14ac:dyDescent="0.25">
      <c r="B1406" s="8">
        <v>44767</v>
      </c>
      <c r="C1406" t="s">
        <v>19</v>
      </c>
      <c r="D1406" t="s">
        <v>12</v>
      </c>
      <c r="E1406" t="s">
        <v>9</v>
      </c>
      <c r="F1406" t="s">
        <v>14</v>
      </c>
      <c r="G1406">
        <v>75</v>
      </c>
      <c r="H1406" s="11">
        <v>138</v>
      </c>
    </row>
    <row r="1407" spans="2:8" x14ac:dyDescent="0.25">
      <c r="B1407" s="8">
        <v>44767</v>
      </c>
      <c r="C1407" t="s">
        <v>25</v>
      </c>
      <c r="D1407" t="s">
        <v>12</v>
      </c>
      <c r="E1407" t="s">
        <v>9</v>
      </c>
      <c r="F1407" t="s">
        <v>16</v>
      </c>
      <c r="G1407">
        <v>87</v>
      </c>
      <c r="H1407" s="11">
        <v>36</v>
      </c>
    </row>
    <row r="1408" spans="2:8" x14ac:dyDescent="0.25">
      <c r="B1408" s="8">
        <v>44768</v>
      </c>
      <c r="C1408" t="s">
        <v>22</v>
      </c>
      <c r="D1408" t="s">
        <v>12</v>
      </c>
      <c r="E1408" t="s">
        <v>13</v>
      </c>
      <c r="F1408" t="s">
        <v>10</v>
      </c>
      <c r="G1408">
        <v>22</v>
      </c>
      <c r="H1408" s="11">
        <v>117</v>
      </c>
    </row>
    <row r="1409" spans="2:8" x14ac:dyDescent="0.25">
      <c r="B1409" s="8">
        <v>44768</v>
      </c>
      <c r="C1409" t="s">
        <v>27</v>
      </c>
      <c r="D1409" t="s">
        <v>18</v>
      </c>
      <c r="E1409" t="s">
        <v>9</v>
      </c>
      <c r="F1409" t="s">
        <v>16</v>
      </c>
      <c r="G1409">
        <v>58</v>
      </c>
      <c r="H1409" s="11">
        <v>26</v>
      </c>
    </row>
    <row r="1410" spans="2:8" x14ac:dyDescent="0.25">
      <c r="B1410" s="8">
        <v>44768</v>
      </c>
      <c r="C1410" t="s">
        <v>11</v>
      </c>
      <c r="D1410" t="s">
        <v>12</v>
      </c>
      <c r="E1410" t="s">
        <v>9</v>
      </c>
      <c r="F1410" t="s">
        <v>16</v>
      </c>
      <c r="G1410">
        <v>75</v>
      </c>
      <c r="H1410" s="11">
        <v>71</v>
      </c>
    </row>
    <row r="1411" spans="2:8" x14ac:dyDescent="0.25">
      <c r="B1411" s="8">
        <v>44768</v>
      </c>
      <c r="C1411" t="s">
        <v>20</v>
      </c>
      <c r="D1411" t="s">
        <v>8</v>
      </c>
      <c r="E1411" t="s">
        <v>9</v>
      </c>
      <c r="F1411" t="s">
        <v>16</v>
      </c>
      <c r="G1411">
        <v>85</v>
      </c>
      <c r="H1411" s="11">
        <v>110</v>
      </c>
    </row>
    <row r="1412" spans="2:8" x14ac:dyDescent="0.25">
      <c r="B1412" s="8">
        <v>44768</v>
      </c>
      <c r="C1412" t="s">
        <v>28</v>
      </c>
      <c r="D1412" t="s">
        <v>8</v>
      </c>
      <c r="E1412" t="s">
        <v>13</v>
      </c>
      <c r="F1412" t="s">
        <v>16</v>
      </c>
      <c r="G1412">
        <v>24</v>
      </c>
      <c r="H1412" s="11">
        <v>42</v>
      </c>
    </row>
    <row r="1413" spans="2:8" x14ac:dyDescent="0.25">
      <c r="B1413" s="8">
        <v>44768</v>
      </c>
      <c r="C1413" t="s">
        <v>19</v>
      </c>
      <c r="D1413" t="s">
        <v>12</v>
      </c>
      <c r="E1413" t="s">
        <v>13</v>
      </c>
      <c r="F1413" t="s">
        <v>16</v>
      </c>
      <c r="G1413">
        <v>46</v>
      </c>
      <c r="H1413" s="11">
        <v>42</v>
      </c>
    </row>
    <row r="1414" spans="2:8" x14ac:dyDescent="0.25">
      <c r="B1414" s="8">
        <v>44768</v>
      </c>
      <c r="C1414" t="s">
        <v>27</v>
      </c>
      <c r="D1414" t="s">
        <v>18</v>
      </c>
      <c r="E1414" t="s">
        <v>13</v>
      </c>
      <c r="F1414" t="s">
        <v>16</v>
      </c>
      <c r="G1414">
        <v>93</v>
      </c>
      <c r="H1414" s="11">
        <v>56</v>
      </c>
    </row>
    <row r="1415" spans="2:8" x14ac:dyDescent="0.25">
      <c r="B1415" s="8">
        <v>44768</v>
      </c>
      <c r="C1415" t="s">
        <v>11</v>
      </c>
      <c r="D1415" t="s">
        <v>12</v>
      </c>
      <c r="E1415" t="s">
        <v>9</v>
      </c>
      <c r="F1415" t="s">
        <v>16</v>
      </c>
      <c r="G1415">
        <v>91</v>
      </c>
      <c r="H1415" s="11">
        <v>131</v>
      </c>
    </row>
    <row r="1416" spans="2:8" x14ac:dyDescent="0.25">
      <c r="B1416" s="8">
        <v>44768</v>
      </c>
      <c r="C1416" t="s">
        <v>28</v>
      </c>
      <c r="D1416" t="s">
        <v>8</v>
      </c>
      <c r="E1416" t="s">
        <v>13</v>
      </c>
      <c r="F1416" t="s">
        <v>14</v>
      </c>
      <c r="G1416">
        <v>54</v>
      </c>
      <c r="H1416" s="11">
        <v>90</v>
      </c>
    </row>
    <row r="1417" spans="2:8" x14ac:dyDescent="0.25">
      <c r="B1417" s="8">
        <v>44769</v>
      </c>
      <c r="C1417" t="s">
        <v>23</v>
      </c>
      <c r="D1417" t="s">
        <v>18</v>
      </c>
      <c r="E1417" t="s">
        <v>9</v>
      </c>
      <c r="F1417" t="s">
        <v>16</v>
      </c>
      <c r="G1417">
        <v>26</v>
      </c>
      <c r="H1417" s="11">
        <v>117</v>
      </c>
    </row>
    <row r="1418" spans="2:8" x14ac:dyDescent="0.25">
      <c r="B1418" s="8">
        <v>44769</v>
      </c>
      <c r="C1418" t="s">
        <v>23</v>
      </c>
      <c r="D1418" t="s">
        <v>18</v>
      </c>
      <c r="E1418" t="s">
        <v>13</v>
      </c>
      <c r="F1418" t="s">
        <v>14</v>
      </c>
      <c r="G1418">
        <v>93</v>
      </c>
      <c r="H1418" s="11">
        <v>74</v>
      </c>
    </row>
    <row r="1419" spans="2:8" x14ac:dyDescent="0.25">
      <c r="B1419" s="8">
        <v>44769</v>
      </c>
      <c r="C1419" t="s">
        <v>11</v>
      </c>
      <c r="D1419" t="s">
        <v>12</v>
      </c>
      <c r="E1419" t="s">
        <v>9</v>
      </c>
      <c r="F1419" t="s">
        <v>16</v>
      </c>
      <c r="G1419">
        <v>69</v>
      </c>
      <c r="H1419" s="11">
        <v>129</v>
      </c>
    </row>
    <row r="1420" spans="2:8" x14ac:dyDescent="0.25">
      <c r="B1420" s="8">
        <v>44769</v>
      </c>
      <c r="C1420" t="s">
        <v>28</v>
      </c>
      <c r="D1420" t="s">
        <v>8</v>
      </c>
      <c r="E1420" t="s">
        <v>13</v>
      </c>
      <c r="F1420" t="s">
        <v>14</v>
      </c>
      <c r="G1420">
        <v>14</v>
      </c>
      <c r="H1420" s="11">
        <v>115</v>
      </c>
    </row>
    <row r="1421" spans="2:8" x14ac:dyDescent="0.25">
      <c r="B1421" s="8">
        <v>44769</v>
      </c>
      <c r="C1421" t="s">
        <v>24</v>
      </c>
      <c r="D1421" t="s">
        <v>18</v>
      </c>
      <c r="E1421" t="s">
        <v>13</v>
      </c>
      <c r="F1421" t="s">
        <v>10</v>
      </c>
      <c r="G1421">
        <v>54</v>
      </c>
      <c r="H1421" s="11">
        <v>112</v>
      </c>
    </row>
    <row r="1422" spans="2:8" x14ac:dyDescent="0.25">
      <c r="B1422" s="8">
        <v>44769</v>
      </c>
      <c r="C1422" t="s">
        <v>23</v>
      </c>
      <c r="D1422" t="s">
        <v>18</v>
      </c>
      <c r="E1422" t="s">
        <v>13</v>
      </c>
      <c r="F1422" t="s">
        <v>10</v>
      </c>
      <c r="G1422">
        <v>35</v>
      </c>
      <c r="H1422" s="11">
        <v>69</v>
      </c>
    </row>
    <row r="1423" spans="2:8" x14ac:dyDescent="0.25">
      <c r="B1423" s="8">
        <v>44769</v>
      </c>
      <c r="C1423" t="s">
        <v>11</v>
      </c>
      <c r="D1423" t="s">
        <v>12</v>
      </c>
      <c r="E1423" t="s">
        <v>13</v>
      </c>
      <c r="F1423" t="s">
        <v>16</v>
      </c>
      <c r="G1423">
        <v>98</v>
      </c>
      <c r="H1423" s="11">
        <v>48</v>
      </c>
    </row>
    <row r="1424" spans="2:8" x14ac:dyDescent="0.25">
      <c r="B1424" s="8">
        <v>44769</v>
      </c>
      <c r="C1424" t="s">
        <v>20</v>
      </c>
      <c r="D1424" t="s">
        <v>8</v>
      </c>
      <c r="E1424" t="s">
        <v>9</v>
      </c>
      <c r="F1424" t="s">
        <v>10</v>
      </c>
      <c r="G1424">
        <v>100</v>
      </c>
      <c r="H1424" s="11">
        <v>66</v>
      </c>
    </row>
    <row r="1425" spans="2:8" x14ac:dyDescent="0.25">
      <c r="B1425" s="8">
        <v>44770</v>
      </c>
      <c r="C1425" t="s">
        <v>20</v>
      </c>
      <c r="D1425" t="s">
        <v>8</v>
      </c>
      <c r="E1425" t="s">
        <v>9</v>
      </c>
      <c r="F1425" t="s">
        <v>14</v>
      </c>
      <c r="G1425">
        <v>66</v>
      </c>
      <c r="H1425" s="11">
        <v>86</v>
      </c>
    </row>
    <row r="1426" spans="2:8" x14ac:dyDescent="0.25">
      <c r="B1426" s="8">
        <v>44770</v>
      </c>
      <c r="C1426" t="s">
        <v>25</v>
      </c>
      <c r="D1426" t="s">
        <v>12</v>
      </c>
      <c r="E1426" t="s">
        <v>9</v>
      </c>
      <c r="F1426" t="s">
        <v>10</v>
      </c>
      <c r="G1426">
        <v>10</v>
      </c>
      <c r="H1426" s="11">
        <v>20</v>
      </c>
    </row>
    <row r="1427" spans="2:8" x14ac:dyDescent="0.25">
      <c r="B1427" s="8">
        <v>44770</v>
      </c>
      <c r="C1427" t="s">
        <v>20</v>
      </c>
      <c r="D1427" t="s">
        <v>8</v>
      </c>
      <c r="E1427" t="s">
        <v>13</v>
      </c>
      <c r="F1427" t="s">
        <v>10</v>
      </c>
      <c r="G1427">
        <v>83</v>
      </c>
      <c r="H1427" s="11">
        <v>84</v>
      </c>
    </row>
    <row r="1428" spans="2:8" x14ac:dyDescent="0.25">
      <c r="B1428" s="8">
        <v>44770</v>
      </c>
      <c r="C1428" t="s">
        <v>26</v>
      </c>
      <c r="D1428" t="s">
        <v>12</v>
      </c>
      <c r="E1428" t="s">
        <v>13</v>
      </c>
      <c r="F1428" t="s">
        <v>14</v>
      </c>
      <c r="G1428">
        <v>59</v>
      </c>
      <c r="H1428" s="11">
        <v>107</v>
      </c>
    </row>
    <row r="1429" spans="2:8" x14ac:dyDescent="0.25">
      <c r="B1429" s="8">
        <v>44770</v>
      </c>
      <c r="C1429" t="s">
        <v>19</v>
      </c>
      <c r="D1429" t="s">
        <v>12</v>
      </c>
      <c r="E1429" t="s">
        <v>13</v>
      </c>
      <c r="F1429" t="s">
        <v>10</v>
      </c>
      <c r="G1429">
        <v>45</v>
      </c>
      <c r="H1429" s="11">
        <v>66</v>
      </c>
    </row>
    <row r="1430" spans="2:8" x14ac:dyDescent="0.25">
      <c r="B1430" s="8">
        <v>44770</v>
      </c>
      <c r="C1430" t="s">
        <v>21</v>
      </c>
      <c r="D1430" t="s">
        <v>8</v>
      </c>
      <c r="E1430" t="s">
        <v>13</v>
      </c>
      <c r="F1430" t="s">
        <v>14</v>
      </c>
      <c r="G1430">
        <v>96</v>
      </c>
      <c r="H1430" s="11">
        <v>50</v>
      </c>
    </row>
    <row r="1431" spans="2:8" x14ac:dyDescent="0.25">
      <c r="B1431" s="8">
        <v>44770</v>
      </c>
      <c r="C1431" t="s">
        <v>17</v>
      </c>
      <c r="D1431" t="s">
        <v>18</v>
      </c>
      <c r="E1431" t="s">
        <v>9</v>
      </c>
      <c r="F1431" t="s">
        <v>10</v>
      </c>
      <c r="G1431">
        <v>35</v>
      </c>
      <c r="H1431" s="11">
        <v>28</v>
      </c>
    </row>
    <row r="1432" spans="2:8" x14ac:dyDescent="0.25">
      <c r="B1432" s="8">
        <v>44771</v>
      </c>
      <c r="C1432" t="s">
        <v>24</v>
      </c>
      <c r="D1432" t="s">
        <v>18</v>
      </c>
      <c r="E1432" t="s">
        <v>13</v>
      </c>
      <c r="F1432" t="s">
        <v>10</v>
      </c>
      <c r="G1432">
        <v>19</v>
      </c>
      <c r="H1432" s="11">
        <v>79</v>
      </c>
    </row>
    <row r="1433" spans="2:8" x14ac:dyDescent="0.25">
      <c r="B1433" s="8">
        <v>44771</v>
      </c>
      <c r="C1433" t="s">
        <v>28</v>
      </c>
      <c r="D1433" t="s">
        <v>8</v>
      </c>
      <c r="E1433" t="s">
        <v>13</v>
      </c>
      <c r="F1433" t="s">
        <v>10</v>
      </c>
      <c r="G1433">
        <v>22</v>
      </c>
      <c r="H1433" s="11">
        <v>101</v>
      </c>
    </row>
    <row r="1434" spans="2:8" x14ac:dyDescent="0.25">
      <c r="B1434" s="8">
        <v>44771</v>
      </c>
      <c r="C1434" t="s">
        <v>23</v>
      </c>
      <c r="D1434" t="s">
        <v>18</v>
      </c>
      <c r="E1434" t="s">
        <v>9</v>
      </c>
      <c r="F1434" t="s">
        <v>14</v>
      </c>
      <c r="G1434">
        <v>65</v>
      </c>
      <c r="H1434" s="11">
        <v>20</v>
      </c>
    </row>
    <row r="1435" spans="2:8" x14ac:dyDescent="0.25">
      <c r="B1435" s="8">
        <v>44771</v>
      </c>
      <c r="C1435" t="s">
        <v>29</v>
      </c>
      <c r="D1435" t="s">
        <v>18</v>
      </c>
      <c r="E1435" t="s">
        <v>9</v>
      </c>
      <c r="F1435" t="s">
        <v>16</v>
      </c>
      <c r="G1435">
        <v>98</v>
      </c>
      <c r="H1435" s="11">
        <v>111</v>
      </c>
    </row>
    <row r="1436" spans="2:8" x14ac:dyDescent="0.25">
      <c r="B1436" s="8">
        <v>44771</v>
      </c>
      <c r="C1436" t="s">
        <v>28</v>
      </c>
      <c r="D1436" t="s">
        <v>8</v>
      </c>
      <c r="E1436" t="s">
        <v>13</v>
      </c>
      <c r="F1436" t="s">
        <v>14</v>
      </c>
      <c r="G1436">
        <v>55</v>
      </c>
      <c r="H1436" s="11">
        <v>133</v>
      </c>
    </row>
    <row r="1437" spans="2:8" x14ac:dyDescent="0.25">
      <c r="B1437" s="8">
        <v>44771</v>
      </c>
      <c r="C1437" t="s">
        <v>24</v>
      </c>
      <c r="D1437" t="s">
        <v>18</v>
      </c>
      <c r="E1437" t="s">
        <v>13</v>
      </c>
      <c r="F1437" t="s">
        <v>14</v>
      </c>
      <c r="G1437">
        <v>58</v>
      </c>
      <c r="H1437" s="11">
        <v>143</v>
      </c>
    </row>
    <row r="1438" spans="2:8" x14ac:dyDescent="0.25">
      <c r="B1438" s="8">
        <v>44771</v>
      </c>
      <c r="C1438" t="s">
        <v>23</v>
      </c>
      <c r="D1438" t="s">
        <v>18</v>
      </c>
      <c r="E1438" t="s">
        <v>9</v>
      </c>
      <c r="F1438" t="s">
        <v>14</v>
      </c>
      <c r="G1438">
        <v>23</v>
      </c>
      <c r="H1438" s="11">
        <v>63</v>
      </c>
    </row>
    <row r="1439" spans="2:8" x14ac:dyDescent="0.25">
      <c r="B1439" s="8">
        <v>44771</v>
      </c>
      <c r="C1439" t="s">
        <v>20</v>
      </c>
      <c r="D1439" t="s">
        <v>8</v>
      </c>
      <c r="E1439" t="s">
        <v>13</v>
      </c>
      <c r="F1439" t="s">
        <v>14</v>
      </c>
      <c r="G1439">
        <v>33</v>
      </c>
      <c r="H1439" s="11">
        <v>113</v>
      </c>
    </row>
    <row r="1440" spans="2:8" x14ac:dyDescent="0.25">
      <c r="B1440" s="8">
        <v>44771</v>
      </c>
      <c r="C1440" t="s">
        <v>17</v>
      </c>
      <c r="D1440" t="s">
        <v>18</v>
      </c>
      <c r="E1440" t="s">
        <v>13</v>
      </c>
      <c r="F1440" t="s">
        <v>10</v>
      </c>
      <c r="G1440">
        <v>84</v>
      </c>
      <c r="H1440" s="11">
        <v>135</v>
      </c>
    </row>
    <row r="1441" spans="2:8" x14ac:dyDescent="0.25">
      <c r="B1441" s="8">
        <v>44771</v>
      </c>
      <c r="C1441" t="s">
        <v>24</v>
      </c>
      <c r="D1441" t="s">
        <v>18</v>
      </c>
      <c r="E1441" t="s">
        <v>13</v>
      </c>
      <c r="F1441" t="s">
        <v>14</v>
      </c>
      <c r="G1441">
        <v>75</v>
      </c>
      <c r="H1441" s="11">
        <v>48</v>
      </c>
    </row>
    <row r="1442" spans="2:8" x14ac:dyDescent="0.25">
      <c r="B1442" s="8">
        <v>44772</v>
      </c>
      <c r="C1442" t="s">
        <v>21</v>
      </c>
      <c r="D1442" t="s">
        <v>8</v>
      </c>
      <c r="E1442" t="s">
        <v>9</v>
      </c>
      <c r="F1442" t="s">
        <v>10</v>
      </c>
      <c r="G1442">
        <v>20</v>
      </c>
      <c r="H1442" s="11">
        <v>69</v>
      </c>
    </row>
    <row r="1443" spans="2:8" x14ac:dyDescent="0.25">
      <c r="B1443" s="8">
        <v>44772</v>
      </c>
      <c r="C1443" t="s">
        <v>26</v>
      </c>
      <c r="D1443" t="s">
        <v>12</v>
      </c>
      <c r="E1443" t="s">
        <v>9</v>
      </c>
      <c r="F1443" t="s">
        <v>10</v>
      </c>
      <c r="G1443">
        <v>80</v>
      </c>
      <c r="H1443" s="11">
        <v>84</v>
      </c>
    </row>
    <row r="1444" spans="2:8" x14ac:dyDescent="0.25">
      <c r="B1444" s="8">
        <v>44772</v>
      </c>
      <c r="C1444" t="s">
        <v>22</v>
      </c>
      <c r="D1444" t="s">
        <v>12</v>
      </c>
      <c r="E1444" t="s">
        <v>13</v>
      </c>
      <c r="F1444" t="s">
        <v>14</v>
      </c>
      <c r="G1444">
        <v>60</v>
      </c>
      <c r="H1444" s="11">
        <v>105</v>
      </c>
    </row>
    <row r="1445" spans="2:8" x14ac:dyDescent="0.25">
      <c r="B1445" s="8">
        <v>44772</v>
      </c>
      <c r="C1445" t="s">
        <v>21</v>
      </c>
      <c r="D1445" t="s">
        <v>8</v>
      </c>
      <c r="E1445" t="s">
        <v>9</v>
      </c>
      <c r="F1445" t="s">
        <v>16</v>
      </c>
      <c r="G1445">
        <v>76</v>
      </c>
      <c r="H1445" s="11">
        <v>140</v>
      </c>
    </row>
    <row r="1446" spans="2:8" x14ac:dyDescent="0.25">
      <c r="B1446" s="8">
        <v>44772</v>
      </c>
      <c r="C1446" t="s">
        <v>27</v>
      </c>
      <c r="D1446" t="s">
        <v>18</v>
      </c>
      <c r="E1446" t="s">
        <v>9</v>
      </c>
      <c r="F1446" t="s">
        <v>14</v>
      </c>
      <c r="G1446">
        <v>79</v>
      </c>
      <c r="H1446" s="11">
        <v>132</v>
      </c>
    </row>
    <row r="1447" spans="2:8" x14ac:dyDescent="0.25">
      <c r="B1447" s="8">
        <v>44773</v>
      </c>
      <c r="C1447" t="s">
        <v>27</v>
      </c>
      <c r="D1447" t="s">
        <v>18</v>
      </c>
      <c r="E1447" t="s">
        <v>9</v>
      </c>
      <c r="F1447" t="s">
        <v>10</v>
      </c>
      <c r="G1447">
        <v>96</v>
      </c>
      <c r="H1447" s="11">
        <v>124</v>
      </c>
    </row>
    <row r="1448" spans="2:8" x14ac:dyDescent="0.25">
      <c r="B1448" s="8">
        <v>44773</v>
      </c>
      <c r="C1448" t="s">
        <v>11</v>
      </c>
      <c r="D1448" t="s">
        <v>12</v>
      </c>
      <c r="E1448" t="s">
        <v>9</v>
      </c>
      <c r="F1448" t="s">
        <v>16</v>
      </c>
      <c r="G1448">
        <v>40</v>
      </c>
      <c r="H1448" s="11">
        <v>149</v>
      </c>
    </row>
    <row r="1449" spans="2:8" x14ac:dyDescent="0.25">
      <c r="B1449" s="8">
        <v>44773</v>
      </c>
      <c r="C1449" t="s">
        <v>15</v>
      </c>
      <c r="D1449" t="s">
        <v>8</v>
      </c>
      <c r="E1449" t="s">
        <v>13</v>
      </c>
      <c r="F1449" t="s">
        <v>14</v>
      </c>
      <c r="G1449">
        <v>30</v>
      </c>
      <c r="H1449" s="11">
        <v>141</v>
      </c>
    </row>
    <row r="1450" spans="2:8" x14ac:dyDescent="0.25">
      <c r="B1450" s="8">
        <v>44773</v>
      </c>
      <c r="C1450" t="s">
        <v>29</v>
      </c>
      <c r="D1450" t="s">
        <v>18</v>
      </c>
      <c r="E1450" t="s">
        <v>13</v>
      </c>
      <c r="F1450" t="s">
        <v>10</v>
      </c>
      <c r="G1450">
        <v>58</v>
      </c>
      <c r="H1450" s="11">
        <v>75</v>
      </c>
    </row>
    <row r="1451" spans="2:8" x14ac:dyDescent="0.25">
      <c r="B1451" s="8">
        <v>44773</v>
      </c>
      <c r="C1451" t="s">
        <v>24</v>
      </c>
      <c r="D1451" t="s">
        <v>18</v>
      </c>
      <c r="E1451" t="s">
        <v>13</v>
      </c>
      <c r="F1451" t="s">
        <v>16</v>
      </c>
      <c r="G1451">
        <v>15</v>
      </c>
      <c r="H1451" s="11">
        <v>22</v>
      </c>
    </row>
    <row r="1452" spans="2:8" x14ac:dyDescent="0.25">
      <c r="B1452" s="8">
        <v>44773</v>
      </c>
      <c r="C1452" t="s">
        <v>28</v>
      </c>
      <c r="D1452" t="s">
        <v>8</v>
      </c>
      <c r="E1452" t="s">
        <v>9</v>
      </c>
      <c r="F1452" t="s">
        <v>14</v>
      </c>
      <c r="G1452">
        <v>54</v>
      </c>
      <c r="H1452" s="11">
        <v>81</v>
      </c>
    </row>
    <row r="1453" spans="2:8" x14ac:dyDescent="0.25">
      <c r="B1453" s="8">
        <v>44773</v>
      </c>
      <c r="C1453" t="s">
        <v>15</v>
      </c>
      <c r="D1453" t="s">
        <v>8</v>
      </c>
      <c r="E1453" t="s">
        <v>13</v>
      </c>
      <c r="F1453" t="s">
        <v>10</v>
      </c>
      <c r="G1453">
        <v>16</v>
      </c>
      <c r="H1453" s="11">
        <v>115</v>
      </c>
    </row>
    <row r="1454" spans="2:8" x14ac:dyDescent="0.25">
      <c r="B1454" s="8">
        <v>44773</v>
      </c>
      <c r="C1454" t="s">
        <v>20</v>
      </c>
      <c r="D1454" t="s">
        <v>8</v>
      </c>
      <c r="E1454" t="s">
        <v>9</v>
      </c>
      <c r="F1454" t="s">
        <v>14</v>
      </c>
      <c r="G1454">
        <v>12</v>
      </c>
      <c r="H1454" s="11">
        <v>51</v>
      </c>
    </row>
    <row r="1455" spans="2:8" x14ac:dyDescent="0.25">
      <c r="B1455" s="8">
        <v>44773</v>
      </c>
      <c r="C1455" t="s">
        <v>24</v>
      </c>
      <c r="D1455" t="s">
        <v>18</v>
      </c>
      <c r="E1455" t="s">
        <v>9</v>
      </c>
      <c r="F1455" t="s">
        <v>14</v>
      </c>
      <c r="G1455">
        <v>38</v>
      </c>
      <c r="H1455" s="11">
        <v>59</v>
      </c>
    </row>
    <row r="1456" spans="2:8" x14ac:dyDescent="0.25">
      <c r="B1456" s="14">
        <v>44774</v>
      </c>
      <c r="C1456" t="s">
        <v>7</v>
      </c>
      <c r="D1456" t="s">
        <v>8</v>
      </c>
      <c r="E1456" t="s">
        <v>13</v>
      </c>
      <c r="F1456" t="s">
        <v>16</v>
      </c>
      <c r="G1456">
        <v>36</v>
      </c>
      <c r="H1456" s="15">
        <v>63</v>
      </c>
    </row>
    <row r="1457" spans="2:8" x14ac:dyDescent="0.25">
      <c r="B1457" s="14">
        <v>44774</v>
      </c>
      <c r="C1457" t="s">
        <v>21</v>
      </c>
      <c r="D1457" t="s">
        <v>8</v>
      </c>
      <c r="E1457" t="s">
        <v>13</v>
      </c>
      <c r="F1457" t="s">
        <v>14</v>
      </c>
      <c r="G1457">
        <v>28</v>
      </c>
      <c r="H1457" s="15">
        <v>109</v>
      </c>
    </row>
    <row r="1458" spans="2:8" x14ac:dyDescent="0.25">
      <c r="B1458" s="14">
        <v>44774</v>
      </c>
      <c r="C1458" t="s">
        <v>26</v>
      </c>
      <c r="D1458" t="s">
        <v>12</v>
      </c>
      <c r="E1458" t="s">
        <v>13</v>
      </c>
      <c r="F1458" t="s">
        <v>10</v>
      </c>
      <c r="G1458">
        <v>32</v>
      </c>
      <c r="H1458" s="15">
        <v>82</v>
      </c>
    </row>
    <row r="1459" spans="2:8" x14ac:dyDescent="0.25">
      <c r="B1459" s="14">
        <v>44774</v>
      </c>
      <c r="C1459" t="s">
        <v>24</v>
      </c>
      <c r="D1459" t="s">
        <v>18</v>
      </c>
      <c r="E1459" t="s">
        <v>9</v>
      </c>
      <c r="F1459" t="s">
        <v>14</v>
      </c>
      <c r="G1459">
        <v>33</v>
      </c>
      <c r="H1459" s="15">
        <v>43</v>
      </c>
    </row>
    <row r="1460" spans="2:8" x14ac:dyDescent="0.25">
      <c r="B1460" s="14">
        <v>44774</v>
      </c>
      <c r="C1460" t="s">
        <v>28</v>
      </c>
      <c r="D1460" t="s">
        <v>8</v>
      </c>
      <c r="E1460" t="s">
        <v>13</v>
      </c>
      <c r="F1460" t="s">
        <v>10</v>
      </c>
      <c r="G1460">
        <v>39</v>
      </c>
      <c r="H1460" s="15">
        <v>99</v>
      </c>
    </row>
    <row r="1461" spans="2:8" x14ac:dyDescent="0.25">
      <c r="B1461" s="14">
        <v>44775</v>
      </c>
      <c r="C1461" t="s">
        <v>25</v>
      </c>
      <c r="D1461" t="s">
        <v>12</v>
      </c>
      <c r="E1461" t="s">
        <v>13</v>
      </c>
      <c r="F1461" t="s">
        <v>10</v>
      </c>
      <c r="G1461">
        <v>29</v>
      </c>
      <c r="H1461" s="15">
        <v>40</v>
      </c>
    </row>
    <row r="1462" spans="2:8" x14ac:dyDescent="0.25">
      <c r="B1462" s="14">
        <v>44775</v>
      </c>
      <c r="C1462" t="s">
        <v>27</v>
      </c>
      <c r="D1462" t="s">
        <v>18</v>
      </c>
      <c r="E1462" t="s">
        <v>13</v>
      </c>
      <c r="F1462" t="s">
        <v>10</v>
      </c>
      <c r="G1462">
        <v>56</v>
      </c>
      <c r="H1462" s="15">
        <v>52</v>
      </c>
    </row>
    <row r="1463" spans="2:8" x14ac:dyDescent="0.25">
      <c r="B1463" s="14">
        <v>44775</v>
      </c>
      <c r="C1463" t="s">
        <v>19</v>
      </c>
      <c r="D1463" t="s">
        <v>12</v>
      </c>
      <c r="E1463" t="s">
        <v>9</v>
      </c>
      <c r="F1463" t="s">
        <v>16</v>
      </c>
      <c r="G1463">
        <v>80</v>
      </c>
      <c r="H1463" s="15">
        <v>43</v>
      </c>
    </row>
    <row r="1464" spans="2:8" x14ac:dyDescent="0.25">
      <c r="B1464" s="14">
        <v>44775</v>
      </c>
      <c r="C1464" t="s">
        <v>25</v>
      </c>
      <c r="D1464" t="s">
        <v>12</v>
      </c>
      <c r="E1464" t="s">
        <v>9</v>
      </c>
      <c r="F1464" t="s">
        <v>16</v>
      </c>
      <c r="G1464">
        <v>67</v>
      </c>
      <c r="H1464" s="15">
        <v>79</v>
      </c>
    </row>
    <row r="1465" spans="2:8" x14ac:dyDescent="0.25">
      <c r="B1465" s="14">
        <v>44775</v>
      </c>
      <c r="C1465" t="s">
        <v>22</v>
      </c>
      <c r="D1465" t="s">
        <v>12</v>
      </c>
      <c r="E1465" t="s">
        <v>13</v>
      </c>
      <c r="F1465" t="s">
        <v>14</v>
      </c>
      <c r="G1465">
        <v>58</v>
      </c>
      <c r="H1465" s="15">
        <v>79</v>
      </c>
    </row>
    <row r="1466" spans="2:8" x14ac:dyDescent="0.25">
      <c r="B1466" s="14">
        <v>44775</v>
      </c>
      <c r="C1466" t="s">
        <v>27</v>
      </c>
      <c r="D1466" t="s">
        <v>18</v>
      </c>
      <c r="E1466" t="s">
        <v>13</v>
      </c>
      <c r="F1466" t="s">
        <v>14</v>
      </c>
      <c r="G1466">
        <v>31</v>
      </c>
      <c r="H1466" s="15">
        <v>56</v>
      </c>
    </row>
    <row r="1467" spans="2:8" x14ac:dyDescent="0.25">
      <c r="B1467" s="14">
        <v>44775</v>
      </c>
      <c r="C1467" t="s">
        <v>23</v>
      </c>
      <c r="D1467" t="s">
        <v>18</v>
      </c>
      <c r="E1467" t="s">
        <v>13</v>
      </c>
      <c r="F1467" t="s">
        <v>10</v>
      </c>
      <c r="G1467">
        <v>81</v>
      </c>
      <c r="H1467" s="15">
        <v>57</v>
      </c>
    </row>
    <row r="1468" spans="2:8" x14ac:dyDescent="0.25">
      <c r="B1468" s="14">
        <v>44775</v>
      </c>
      <c r="C1468" t="s">
        <v>22</v>
      </c>
      <c r="D1468" t="s">
        <v>12</v>
      </c>
      <c r="E1468" t="s">
        <v>13</v>
      </c>
      <c r="F1468" t="s">
        <v>14</v>
      </c>
      <c r="G1468">
        <v>18</v>
      </c>
      <c r="H1468" s="15">
        <v>142</v>
      </c>
    </row>
    <row r="1469" spans="2:8" x14ac:dyDescent="0.25">
      <c r="B1469" s="14">
        <v>44775</v>
      </c>
      <c r="C1469" t="s">
        <v>25</v>
      </c>
      <c r="D1469" t="s">
        <v>12</v>
      </c>
      <c r="E1469" t="s">
        <v>9</v>
      </c>
      <c r="F1469" t="s">
        <v>10</v>
      </c>
      <c r="G1469">
        <v>87</v>
      </c>
      <c r="H1469" s="15">
        <v>90</v>
      </c>
    </row>
    <row r="1470" spans="2:8" x14ac:dyDescent="0.25">
      <c r="B1470" s="14">
        <v>44775</v>
      </c>
      <c r="C1470" t="s">
        <v>25</v>
      </c>
      <c r="D1470" t="s">
        <v>12</v>
      </c>
      <c r="E1470" t="s">
        <v>13</v>
      </c>
      <c r="F1470" t="s">
        <v>10</v>
      </c>
      <c r="G1470">
        <v>52</v>
      </c>
      <c r="H1470" s="15">
        <v>58</v>
      </c>
    </row>
    <row r="1471" spans="2:8" x14ac:dyDescent="0.25">
      <c r="B1471" s="14">
        <v>44775</v>
      </c>
      <c r="C1471" t="s">
        <v>15</v>
      </c>
      <c r="D1471" t="s">
        <v>8</v>
      </c>
      <c r="E1471" t="s">
        <v>9</v>
      </c>
      <c r="F1471" t="s">
        <v>16</v>
      </c>
      <c r="G1471">
        <v>43</v>
      </c>
      <c r="H1471" s="15">
        <v>46</v>
      </c>
    </row>
    <row r="1472" spans="2:8" x14ac:dyDescent="0.25">
      <c r="B1472" s="14">
        <v>44775</v>
      </c>
      <c r="C1472" t="s">
        <v>27</v>
      </c>
      <c r="D1472" t="s">
        <v>18</v>
      </c>
      <c r="E1472" t="s">
        <v>9</v>
      </c>
      <c r="F1472" t="s">
        <v>16</v>
      </c>
      <c r="G1472">
        <v>11</v>
      </c>
      <c r="H1472" s="15">
        <v>50</v>
      </c>
    </row>
    <row r="1473" spans="2:8" x14ac:dyDescent="0.25">
      <c r="B1473" s="14">
        <v>44776</v>
      </c>
      <c r="C1473" t="s">
        <v>24</v>
      </c>
      <c r="D1473" t="s">
        <v>18</v>
      </c>
      <c r="E1473" t="s">
        <v>9</v>
      </c>
      <c r="F1473" t="s">
        <v>14</v>
      </c>
      <c r="G1473">
        <v>14</v>
      </c>
      <c r="H1473" s="15">
        <v>110</v>
      </c>
    </row>
    <row r="1474" spans="2:8" x14ac:dyDescent="0.25">
      <c r="B1474" s="14">
        <v>44776</v>
      </c>
      <c r="C1474" t="s">
        <v>25</v>
      </c>
      <c r="D1474" t="s">
        <v>12</v>
      </c>
      <c r="E1474" t="s">
        <v>13</v>
      </c>
      <c r="F1474" t="s">
        <v>10</v>
      </c>
      <c r="G1474">
        <v>26</v>
      </c>
      <c r="H1474" s="15">
        <v>52</v>
      </c>
    </row>
    <row r="1475" spans="2:8" x14ac:dyDescent="0.25">
      <c r="B1475" s="14">
        <v>44776</v>
      </c>
      <c r="C1475" t="s">
        <v>22</v>
      </c>
      <c r="D1475" t="s">
        <v>12</v>
      </c>
      <c r="E1475" t="s">
        <v>9</v>
      </c>
      <c r="F1475" t="s">
        <v>14</v>
      </c>
      <c r="G1475">
        <v>95</v>
      </c>
      <c r="H1475" s="15">
        <v>65</v>
      </c>
    </row>
    <row r="1476" spans="2:8" x14ac:dyDescent="0.25">
      <c r="B1476" s="14">
        <v>44776</v>
      </c>
      <c r="C1476" t="s">
        <v>28</v>
      </c>
      <c r="D1476" t="s">
        <v>8</v>
      </c>
      <c r="E1476" t="s">
        <v>13</v>
      </c>
      <c r="F1476" t="s">
        <v>10</v>
      </c>
      <c r="G1476">
        <v>75</v>
      </c>
      <c r="H1476" s="15">
        <v>91</v>
      </c>
    </row>
    <row r="1477" spans="2:8" x14ac:dyDescent="0.25">
      <c r="B1477" s="14">
        <v>44776</v>
      </c>
      <c r="C1477" t="s">
        <v>24</v>
      </c>
      <c r="D1477" t="s">
        <v>18</v>
      </c>
      <c r="E1477" t="s">
        <v>9</v>
      </c>
      <c r="F1477" t="s">
        <v>14</v>
      </c>
      <c r="G1477">
        <v>86</v>
      </c>
      <c r="H1477" s="15">
        <v>77</v>
      </c>
    </row>
    <row r="1478" spans="2:8" x14ac:dyDescent="0.25">
      <c r="B1478" s="14">
        <v>44776</v>
      </c>
      <c r="C1478" t="s">
        <v>22</v>
      </c>
      <c r="D1478" t="s">
        <v>12</v>
      </c>
      <c r="E1478" t="s">
        <v>9</v>
      </c>
      <c r="F1478" t="s">
        <v>10</v>
      </c>
      <c r="G1478">
        <v>15</v>
      </c>
      <c r="H1478" s="15">
        <v>37</v>
      </c>
    </row>
    <row r="1479" spans="2:8" x14ac:dyDescent="0.25">
      <c r="B1479" s="14">
        <v>44776</v>
      </c>
      <c r="C1479" t="s">
        <v>24</v>
      </c>
      <c r="D1479" t="s">
        <v>18</v>
      </c>
      <c r="E1479" t="s">
        <v>9</v>
      </c>
      <c r="F1479" t="s">
        <v>14</v>
      </c>
      <c r="G1479">
        <v>67</v>
      </c>
      <c r="H1479" s="15">
        <v>119</v>
      </c>
    </row>
    <row r="1480" spans="2:8" x14ac:dyDescent="0.25">
      <c r="B1480" s="14">
        <v>44776</v>
      </c>
      <c r="C1480" t="s">
        <v>23</v>
      </c>
      <c r="D1480" t="s">
        <v>18</v>
      </c>
      <c r="E1480" t="s">
        <v>9</v>
      </c>
      <c r="F1480" t="s">
        <v>10</v>
      </c>
      <c r="G1480">
        <v>40</v>
      </c>
      <c r="H1480" s="15">
        <v>150</v>
      </c>
    </row>
    <row r="1481" spans="2:8" x14ac:dyDescent="0.25">
      <c r="B1481" s="14">
        <v>44776</v>
      </c>
      <c r="C1481" t="s">
        <v>17</v>
      </c>
      <c r="D1481" t="s">
        <v>18</v>
      </c>
      <c r="E1481" t="s">
        <v>13</v>
      </c>
      <c r="F1481" t="s">
        <v>16</v>
      </c>
      <c r="G1481">
        <v>33</v>
      </c>
      <c r="H1481" s="15">
        <v>76</v>
      </c>
    </row>
    <row r="1482" spans="2:8" x14ac:dyDescent="0.25">
      <c r="B1482" s="14">
        <v>44776</v>
      </c>
      <c r="C1482" t="s">
        <v>29</v>
      </c>
      <c r="D1482" t="s">
        <v>18</v>
      </c>
      <c r="E1482" t="s">
        <v>9</v>
      </c>
      <c r="F1482" t="s">
        <v>10</v>
      </c>
      <c r="G1482">
        <v>94</v>
      </c>
      <c r="H1482" s="15">
        <v>114</v>
      </c>
    </row>
    <row r="1483" spans="2:8" x14ac:dyDescent="0.25">
      <c r="B1483" s="14">
        <v>44777</v>
      </c>
      <c r="C1483" t="s">
        <v>22</v>
      </c>
      <c r="D1483" t="s">
        <v>12</v>
      </c>
      <c r="E1483" t="s">
        <v>13</v>
      </c>
      <c r="F1483" t="s">
        <v>10</v>
      </c>
      <c r="G1483">
        <v>22</v>
      </c>
      <c r="H1483" s="15">
        <v>89</v>
      </c>
    </row>
    <row r="1484" spans="2:8" x14ac:dyDescent="0.25">
      <c r="B1484" s="14">
        <v>44777</v>
      </c>
      <c r="C1484" t="s">
        <v>19</v>
      </c>
      <c r="D1484" t="s">
        <v>12</v>
      </c>
      <c r="E1484" t="s">
        <v>9</v>
      </c>
      <c r="F1484" t="s">
        <v>14</v>
      </c>
      <c r="G1484">
        <v>25</v>
      </c>
      <c r="H1484" s="15">
        <v>97</v>
      </c>
    </row>
    <row r="1485" spans="2:8" x14ac:dyDescent="0.25">
      <c r="B1485" s="14">
        <v>44777</v>
      </c>
      <c r="C1485" t="s">
        <v>26</v>
      </c>
      <c r="D1485" t="s">
        <v>12</v>
      </c>
      <c r="E1485" t="s">
        <v>13</v>
      </c>
      <c r="F1485" t="s">
        <v>16</v>
      </c>
      <c r="G1485">
        <v>16</v>
      </c>
      <c r="H1485" s="15">
        <v>85</v>
      </c>
    </row>
    <row r="1486" spans="2:8" x14ac:dyDescent="0.25">
      <c r="B1486" s="14">
        <v>44777</v>
      </c>
      <c r="C1486" t="s">
        <v>29</v>
      </c>
      <c r="D1486" t="s">
        <v>18</v>
      </c>
      <c r="E1486" t="s">
        <v>9</v>
      </c>
      <c r="F1486" t="s">
        <v>10</v>
      </c>
      <c r="G1486">
        <v>38</v>
      </c>
      <c r="H1486" s="15">
        <v>55</v>
      </c>
    </row>
    <row r="1487" spans="2:8" x14ac:dyDescent="0.25">
      <c r="B1487" s="14">
        <v>44777</v>
      </c>
      <c r="C1487" t="s">
        <v>24</v>
      </c>
      <c r="D1487" t="s">
        <v>18</v>
      </c>
      <c r="E1487" t="s">
        <v>9</v>
      </c>
      <c r="F1487" t="s">
        <v>16</v>
      </c>
      <c r="G1487">
        <v>64</v>
      </c>
      <c r="H1487" s="15">
        <v>147</v>
      </c>
    </row>
    <row r="1488" spans="2:8" x14ac:dyDescent="0.25">
      <c r="B1488" s="14">
        <v>44777</v>
      </c>
      <c r="C1488" t="s">
        <v>27</v>
      </c>
      <c r="D1488" t="s">
        <v>18</v>
      </c>
      <c r="E1488" t="s">
        <v>13</v>
      </c>
      <c r="F1488" t="s">
        <v>10</v>
      </c>
      <c r="G1488">
        <v>34</v>
      </c>
      <c r="H1488" s="15">
        <v>130</v>
      </c>
    </row>
    <row r="1489" spans="2:8" x14ac:dyDescent="0.25">
      <c r="B1489" s="14">
        <v>44777</v>
      </c>
      <c r="C1489" t="s">
        <v>11</v>
      </c>
      <c r="D1489" t="s">
        <v>12</v>
      </c>
      <c r="E1489" t="s">
        <v>13</v>
      </c>
      <c r="F1489" t="s">
        <v>16</v>
      </c>
      <c r="G1489">
        <v>29</v>
      </c>
      <c r="H1489" s="15">
        <v>62</v>
      </c>
    </row>
    <row r="1490" spans="2:8" x14ac:dyDescent="0.25">
      <c r="B1490" s="14">
        <v>44777</v>
      </c>
      <c r="C1490" t="s">
        <v>7</v>
      </c>
      <c r="D1490" t="s">
        <v>8</v>
      </c>
      <c r="E1490" t="s">
        <v>9</v>
      </c>
      <c r="F1490" t="s">
        <v>10</v>
      </c>
      <c r="G1490">
        <v>56</v>
      </c>
      <c r="H1490" s="15">
        <v>135</v>
      </c>
    </row>
    <row r="1491" spans="2:8" x14ac:dyDescent="0.25">
      <c r="B1491" s="14">
        <v>44778</v>
      </c>
      <c r="C1491" t="s">
        <v>17</v>
      </c>
      <c r="D1491" t="s">
        <v>18</v>
      </c>
      <c r="E1491" t="s">
        <v>13</v>
      </c>
      <c r="F1491" t="s">
        <v>10</v>
      </c>
      <c r="G1491">
        <v>85</v>
      </c>
      <c r="H1491" s="15">
        <v>20</v>
      </c>
    </row>
    <row r="1492" spans="2:8" x14ac:dyDescent="0.25">
      <c r="B1492" s="14">
        <v>44778</v>
      </c>
      <c r="C1492" t="s">
        <v>27</v>
      </c>
      <c r="D1492" t="s">
        <v>18</v>
      </c>
      <c r="E1492" t="s">
        <v>13</v>
      </c>
      <c r="F1492" t="s">
        <v>16</v>
      </c>
      <c r="G1492">
        <v>13</v>
      </c>
      <c r="H1492" s="15">
        <v>20</v>
      </c>
    </row>
    <row r="1493" spans="2:8" x14ac:dyDescent="0.25">
      <c r="B1493" s="14">
        <v>44778</v>
      </c>
      <c r="C1493" t="s">
        <v>24</v>
      </c>
      <c r="D1493" t="s">
        <v>18</v>
      </c>
      <c r="E1493" t="s">
        <v>13</v>
      </c>
      <c r="F1493" t="s">
        <v>10</v>
      </c>
      <c r="G1493">
        <v>82</v>
      </c>
      <c r="H1493" s="15">
        <v>78</v>
      </c>
    </row>
    <row r="1494" spans="2:8" x14ac:dyDescent="0.25">
      <c r="B1494" s="14">
        <v>44778</v>
      </c>
      <c r="C1494" t="s">
        <v>26</v>
      </c>
      <c r="D1494" t="s">
        <v>12</v>
      </c>
      <c r="E1494" t="s">
        <v>9</v>
      </c>
      <c r="F1494" t="s">
        <v>10</v>
      </c>
      <c r="G1494">
        <v>98</v>
      </c>
      <c r="H1494" s="15">
        <v>92</v>
      </c>
    </row>
    <row r="1495" spans="2:8" x14ac:dyDescent="0.25">
      <c r="B1495" s="14">
        <v>44778</v>
      </c>
      <c r="C1495" t="s">
        <v>23</v>
      </c>
      <c r="D1495" t="s">
        <v>18</v>
      </c>
      <c r="E1495" t="s">
        <v>9</v>
      </c>
      <c r="F1495" t="s">
        <v>10</v>
      </c>
      <c r="G1495">
        <v>86</v>
      </c>
      <c r="H1495" s="15">
        <v>85</v>
      </c>
    </row>
    <row r="1496" spans="2:8" x14ac:dyDescent="0.25">
      <c r="B1496" s="14">
        <v>44778</v>
      </c>
      <c r="C1496" t="s">
        <v>25</v>
      </c>
      <c r="D1496" t="s">
        <v>12</v>
      </c>
      <c r="E1496" t="s">
        <v>13</v>
      </c>
      <c r="F1496" t="s">
        <v>14</v>
      </c>
      <c r="G1496">
        <v>92</v>
      </c>
      <c r="H1496" s="15">
        <v>29</v>
      </c>
    </row>
    <row r="1497" spans="2:8" x14ac:dyDescent="0.25">
      <c r="B1497" s="14">
        <v>44778</v>
      </c>
      <c r="C1497" t="s">
        <v>22</v>
      </c>
      <c r="D1497" t="s">
        <v>12</v>
      </c>
      <c r="E1497" t="s">
        <v>13</v>
      </c>
      <c r="F1497" t="s">
        <v>14</v>
      </c>
      <c r="G1497">
        <v>92</v>
      </c>
      <c r="H1497" s="15">
        <v>137</v>
      </c>
    </row>
    <row r="1498" spans="2:8" x14ac:dyDescent="0.25">
      <c r="B1498" s="14">
        <v>44778</v>
      </c>
      <c r="C1498" t="s">
        <v>29</v>
      </c>
      <c r="D1498" t="s">
        <v>18</v>
      </c>
      <c r="E1498" t="s">
        <v>13</v>
      </c>
      <c r="F1498" t="s">
        <v>10</v>
      </c>
      <c r="G1498">
        <v>63</v>
      </c>
      <c r="H1498" s="15">
        <v>119</v>
      </c>
    </row>
    <row r="1499" spans="2:8" x14ac:dyDescent="0.25">
      <c r="B1499" s="14">
        <v>44778</v>
      </c>
      <c r="C1499" t="s">
        <v>22</v>
      </c>
      <c r="D1499" t="s">
        <v>12</v>
      </c>
      <c r="E1499" t="s">
        <v>9</v>
      </c>
      <c r="F1499" t="s">
        <v>16</v>
      </c>
      <c r="G1499">
        <v>21</v>
      </c>
      <c r="H1499" s="15">
        <v>118</v>
      </c>
    </row>
    <row r="1500" spans="2:8" x14ac:dyDescent="0.25">
      <c r="B1500" s="14">
        <v>44778</v>
      </c>
      <c r="C1500" t="s">
        <v>25</v>
      </c>
      <c r="D1500" t="s">
        <v>12</v>
      </c>
      <c r="E1500" t="s">
        <v>13</v>
      </c>
      <c r="F1500" t="s">
        <v>16</v>
      </c>
      <c r="G1500">
        <v>15</v>
      </c>
      <c r="H1500" s="15">
        <v>81</v>
      </c>
    </row>
    <row r="1501" spans="2:8" x14ac:dyDescent="0.25">
      <c r="B1501" s="14">
        <v>44778</v>
      </c>
      <c r="C1501" t="s">
        <v>28</v>
      </c>
      <c r="D1501" t="s">
        <v>8</v>
      </c>
      <c r="E1501" t="s">
        <v>9</v>
      </c>
      <c r="F1501" t="s">
        <v>16</v>
      </c>
      <c r="G1501">
        <v>53</v>
      </c>
      <c r="H1501" s="15">
        <v>54</v>
      </c>
    </row>
    <row r="1502" spans="2:8" x14ac:dyDescent="0.25">
      <c r="B1502" s="14">
        <v>44778</v>
      </c>
      <c r="C1502" t="s">
        <v>15</v>
      </c>
      <c r="D1502" t="s">
        <v>8</v>
      </c>
      <c r="E1502" t="s">
        <v>13</v>
      </c>
      <c r="F1502" t="s">
        <v>16</v>
      </c>
      <c r="G1502">
        <v>16</v>
      </c>
      <c r="H1502" s="15">
        <v>103</v>
      </c>
    </row>
    <row r="1503" spans="2:8" x14ac:dyDescent="0.25">
      <c r="B1503" s="14">
        <v>44778</v>
      </c>
      <c r="C1503" t="s">
        <v>19</v>
      </c>
      <c r="D1503" t="s">
        <v>12</v>
      </c>
      <c r="E1503" t="s">
        <v>9</v>
      </c>
      <c r="F1503" t="s">
        <v>14</v>
      </c>
      <c r="G1503">
        <v>82</v>
      </c>
      <c r="H1503" s="15">
        <v>62</v>
      </c>
    </row>
    <row r="1504" spans="2:8" x14ac:dyDescent="0.25">
      <c r="B1504" s="14">
        <v>44779</v>
      </c>
      <c r="C1504" t="s">
        <v>24</v>
      </c>
      <c r="D1504" t="s">
        <v>18</v>
      </c>
      <c r="E1504" t="s">
        <v>9</v>
      </c>
      <c r="F1504" t="s">
        <v>16</v>
      </c>
      <c r="G1504">
        <v>74</v>
      </c>
      <c r="H1504" s="15">
        <v>110</v>
      </c>
    </row>
    <row r="1505" spans="2:8" x14ac:dyDescent="0.25">
      <c r="B1505" s="14">
        <v>44779</v>
      </c>
      <c r="C1505" t="s">
        <v>22</v>
      </c>
      <c r="D1505" t="s">
        <v>12</v>
      </c>
      <c r="E1505" t="s">
        <v>9</v>
      </c>
      <c r="F1505" t="s">
        <v>14</v>
      </c>
      <c r="G1505">
        <v>61</v>
      </c>
      <c r="H1505" s="15">
        <v>49</v>
      </c>
    </row>
    <row r="1506" spans="2:8" x14ac:dyDescent="0.25">
      <c r="B1506" s="14">
        <v>44779</v>
      </c>
      <c r="C1506" t="s">
        <v>28</v>
      </c>
      <c r="D1506" t="s">
        <v>8</v>
      </c>
      <c r="E1506" t="s">
        <v>13</v>
      </c>
      <c r="F1506" t="s">
        <v>14</v>
      </c>
      <c r="G1506">
        <v>58</v>
      </c>
      <c r="H1506" s="15">
        <v>61</v>
      </c>
    </row>
    <row r="1507" spans="2:8" x14ac:dyDescent="0.25">
      <c r="B1507" s="14">
        <v>44779</v>
      </c>
      <c r="C1507" t="s">
        <v>22</v>
      </c>
      <c r="D1507" t="s">
        <v>12</v>
      </c>
      <c r="E1507" t="s">
        <v>13</v>
      </c>
      <c r="F1507" t="s">
        <v>16</v>
      </c>
      <c r="G1507">
        <v>72</v>
      </c>
      <c r="H1507" s="15">
        <v>102</v>
      </c>
    </row>
    <row r="1508" spans="2:8" x14ac:dyDescent="0.25">
      <c r="B1508" s="14">
        <v>44779</v>
      </c>
      <c r="C1508" t="s">
        <v>29</v>
      </c>
      <c r="D1508" t="s">
        <v>18</v>
      </c>
      <c r="E1508" t="s">
        <v>13</v>
      </c>
      <c r="F1508" t="s">
        <v>16</v>
      </c>
      <c r="G1508">
        <v>63</v>
      </c>
      <c r="H1508" s="15">
        <v>40</v>
      </c>
    </row>
    <row r="1509" spans="2:8" x14ac:dyDescent="0.25">
      <c r="B1509" s="14">
        <v>44779</v>
      </c>
      <c r="C1509" t="s">
        <v>26</v>
      </c>
      <c r="D1509" t="s">
        <v>12</v>
      </c>
      <c r="E1509" t="s">
        <v>9</v>
      </c>
      <c r="F1509" t="s">
        <v>10</v>
      </c>
      <c r="G1509">
        <v>78</v>
      </c>
      <c r="H1509" s="15">
        <v>141</v>
      </c>
    </row>
    <row r="1510" spans="2:8" x14ac:dyDescent="0.25">
      <c r="B1510" s="14">
        <v>44779</v>
      </c>
      <c r="C1510" t="s">
        <v>15</v>
      </c>
      <c r="D1510" t="s">
        <v>8</v>
      </c>
      <c r="E1510" t="s">
        <v>13</v>
      </c>
      <c r="F1510" t="s">
        <v>10</v>
      </c>
      <c r="G1510">
        <v>41</v>
      </c>
      <c r="H1510" s="15">
        <v>141</v>
      </c>
    </row>
    <row r="1511" spans="2:8" x14ac:dyDescent="0.25">
      <c r="B1511" s="14">
        <v>44779</v>
      </c>
      <c r="C1511" t="s">
        <v>20</v>
      </c>
      <c r="D1511" t="s">
        <v>8</v>
      </c>
      <c r="E1511" t="s">
        <v>13</v>
      </c>
      <c r="F1511" t="s">
        <v>14</v>
      </c>
      <c r="G1511">
        <v>16</v>
      </c>
      <c r="H1511" s="15">
        <v>75</v>
      </c>
    </row>
    <row r="1512" spans="2:8" x14ac:dyDescent="0.25">
      <c r="B1512" s="14">
        <v>44779</v>
      </c>
      <c r="C1512" t="s">
        <v>26</v>
      </c>
      <c r="D1512" t="s">
        <v>12</v>
      </c>
      <c r="E1512" t="s">
        <v>9</v>
      </c>
      <c r="F1512" t="s">
        <v>10</v>
      </c>
      <c r="G1512">
        <v>10</v>
      </c>
      <c r="H1512" s="15">
        <v>142</v>
      </c>
    </row>
    <row r="1513" spans="2:8" x14ac:dyDescent="0.25">
      <c r="B1513" s="14">
        <v>44779</v>
      </c>
      <c r="C1513" t="s">
        <v>23</v>
      </c>
      <c r="D1513" t="s">
        <v>18</v>
      </c>
      <c r="E1513" t="s">
        <v>13</v>
      </c>
      <c r="F1513" t="s">
        <v>14</v>
      </c>
      <c r="G1513">
        <v>71</v>
      </c>
      <c r="H1513" s="15">
        <v>67</v>
      </c>
    </row>
    <row r="1514" spans="2:8" x14ac:dyDescent="0.25">
      <c r="B1514" s="14">
        <v>44779</v>
      </c>
      <c r="C1514" t="s">
        <v>7</v>
      </c>
      <c r="D1514" t="s">
        <v>8</v>
      </c>
      <c r="E1514" t="s">
        <v>9</v>
      </c>
      <c r="F1514" t="s">
        <v>14</v>
      </c>
      <c r="G1514">
        <v>26</v>
      </c>
      <c r="H1514" s="15">
        <v>50</v>
      </c>
    </row>
    <row r="1515" spans="2:8" x14ac:dyDescent="0.25">
      <c r="B1515" s="14">
        <v>44780</v>
      </c>
      <c r="C1515" t="s">
        <v>19</v>
      </c>
      <c r="D1515" t="s">
        <v>12</v>
      </c>
      <c r="E1515" t="s">
        <v>9</v>
      </c>
      <c r="F1515" t="s">
        <v>16</v>
      </c>
      <c r="G1515">
        <v>27</v>
      </c>
      <c r="H1515" s="15">
        <v>56</v>
      </c>
    </row>
    <row r="1516" spans="2:8" x14ac:dyDescent="0.25">
      <c r="B1516" s="14">
        <v>44780</v>
      </c>
      <c r="C1516" t="s">
        <v>15</v>
      </c>
      <c r="D1516" t="s">
        <v>8</v>
      </c>
      <c r="E1516" t="s">
        <v>13</v>
      </c>
      <c r="F1516" t="s">
        <v>10</v>
      </c>
      <c r="G1516">
        <v>70</v>
      </c>
      <c r="H1516" s="15">
        <v>97</v>
      </c>
    </row>
    <row r="1517" spans="2:8" x14ac:dyDescent="0.25">
      <c r="B1517" s="14">
        <v>44780</v>
      </c>
      <c r="C1517" t="s">
        <v>26</v>
      </c>
      <c r="D1517" t="s">
        <v>12</v>
      </c>
      <c r="E1517" t="s">
        <v>13</v>
      </c>
      <c r="F1517" t="s">
        <v>10</v>
      </c>
      <c r="G1517">
        <v>77</v>
      </c>
      <c r="H1517" s="15">
        <v>76</v>
      </c>
    </row>
    <row r="1518" spans="2:8" x14ac:dyDescent="0.25">
      <c r="B1518" s="14">
        <v>44781</v>
      </c>
      <c r="C1518" t="s">
        <v>7</v>
      </c>
      <c r="D1518" t="s">
        <v>8</v>
      </c>
      <c r="E1518" t="s">
        <v>13</v>
      </c>
      <c r="F1518" t="s">
        <v>16</v>
      </c>
      <c r="G1518">
        <v>48</v>
      </c>
      <c r="H1518" s="15">
        <v>72</v>
      </c>
    </row>
    <row r="1519" spans="2:8" x14ac:dyDescent="0.25">
      <c r="B1519" s="14">
        <v>44781</v>
      </c>
      <c r="C1519" t="s">
        <v>7</v>
      </c>
      <c r="D1519" t="s">
        <v>8</v>
      </c>
      <c r="E1519" t="s">
        <v>9</v>
      </c>
      <c r="F1519" t="s">
        <v>10</v>
      </c>
      <c r="G1519">
        <v>34</v>
      </c>
      <c r="H1519" s="15">
        <v>24</v>
      </c>
    </row>
    <row r="1520" spans="2:8" x14ac:dyDescent="0.25">
      <c r="B1520" s="14">
        <v>44781</v>
      </c>
      <c r="C1520" t="s">
        <v>17</v>
      </c>
      <c r="D1520" t="s">
        <v>18</v>
      </c>
      <c r="E1520" t="s">
        <v>13</v>
      </c>
      <c r="F1520" t="s">
        <v>16</v>
      </c>
      <c r="G1520">
        <v>52</v>
      </c>
      <c r="H1520" s="15">
        <v>103</v>
      </c>
    </row>
    <row r="1521" spans="2:8" x14ac:dyDescent="0.25">
      <c r="B1521" s="14">
        <v>44781</v>
      </c>
      <c r="C1521" t="s">
        <v>24</v>
      </c>
      <c r="D1521" t="s">
        <v>18</v>
      </c>
      <c r="E1521" t="s">
        <v>13</v>
      </c>
      <c r="F1521" t="s">
        <v>14</v>
      </c>
      <c r="G1521">
        <v>32</v>
      </c>
      <c r="H1521" s="15">
        <v>34</v>
      </c>
    </row>
    <row r="1522" spans="2:8" x14ac:dyDescent="0.25">
      <c r="B1522" s="14">
        <v>44781</v>
      </c>
      <c r="C1522" t="s">
        <v>27</v>
      </c>
      <c r="D1522" t="s">
        <v>18</v>
      </c>
      <c r="E1522" t="s">
        <v>13</v>
      </c>
      <c r="F1522" t="s">
        <v>14</v>
      </c>
      <c r="G1522">
        <v>18</v>
      </c>
      <c r="H1522" s="15">
        <v>76</v>
      </c>
    </row>
    <row r="1523" spans="2:8" x14ac:dyDescent="0.25">
      <c r="B1523" s="14">
        <v>44782</v>
      </c>
      <c r="C1523" t="s">
        <v>23</v>
      </c>
      <c r="D1523" t="s">
        <v>18</v>
      </c>
      <c r="E1523" t="s">
        <v>13</v>
      </c>
      <c r="F1523" t="s">
        <v>10</v>
      </c>
      <c r="G1523">
        <v>67</v>
      </c>
      <c r="H1523" s="15">
        <v>20</v>
      </c>
    </row>
    <row r="1524" spans="2:8" x14ac:dyDescent="0.25">
      <c r="B1524" s="14">
        <v>44782</v>
      </c>
      <c r="C1524" t="s">
        <v>15</v>
      </c>
      <c r="D1524" t="s">
        <v>8</v>
      </c>
      <c r="E1524" t="s">
        <v>9</v>
      </c>
      <c r="F1524" t="s">
        <v>16</v>
      </c>
      <c r="G1524">
        <v>100</v>
      </c>
      <c r="H1524" s="15">
        <v>92</v>
      </c>
    </row>
    <row r="1525" spans="2:8" x14ac:dyDescent="0.25">
      <c r="B1525" s="14">
        <v>44782</v>
      </c>
      <c r="C1525" t="s">
        <v>15</v>
      </c>
      <c r="D1525" t="s">
        <v>8</v>
      </c>
      <c r="E1525" t="s">
        <v>13</v>
      </c>
      <c r="F1525" t="s">
        <v>16</v>
      </c>
      <c r="G1525">
        <v>27</v>
      </c>
      <c r="H1525" s="15">
        <v>107</v>
      </c>
    </row>
    <row r="1526" spans="2:8" x14ac:dyDescent="0.25">
      <c r="B1526" s="14">
        <v>44783</v>
      </c>
      <c r="C1526" t="s">
        <v>7</v>
      </c>
      <c r="D1526" t="s">
        <v>8</v>
      </c>
      <c r="E1526" t="s">
        <v>13</v>
      </c>
      <c r="F1526" t="s">
        <v>14</v>
      </c>
      <c r="G1526">
        <v>49</v>
      </c>
      <c r="H1526" s="15">
        <v>20</v>
      </c>
    </row>
    <row r="1527" spans="2:8" x14ac:dyDescent="0.25">
      <c r="B1527" s="14">
        <v>44783</v>
      </c>
      <c r="C1527" t="s">
        <v>28</v>
      </c>
      <c r="D1527" t="s">
        <v>8</v>
      </c>
      <c r="E1527" t="s">
        <v>9</v>
      </c>
      <c r="F1527" t="s">
        <v>14</v>
      </c>
      <c r="G1527">
        <v>42</v>
      </c>
      <c r="H1527" s="15">
        <v>58</v>
      </c>
    </row>
    <row r="1528" spans="2:8" x14ac:dyDescent="0.25">
      <c r="B1528" s="14">
        <v>44783</v>
      </c>
      <c r="C1528" t="s">
        <v>21</v>
      </c>
      <c r="D1528" t="s">
        <v>8</v>
      </c>
      <c r="E1528" t="s">
        <v>9</v>
      </c>
      <c r="F1528" t="s">
        <v>14</v>
      </c>
      <c r="G1528">
        <v>52</v>
      </c>
      <c r="H1528" s="15">
        <v>138</v>
      </c>
    </row>
    <row r="1529" spans="2:8" x14ac:dyDescent="0.25">
      <c r="B1529" s="14">
        <v>44783</v>
      </c>
      <c r="C1529" t="s">
        <v>29</v>
      </c>
      <c r="D1529" t="s">
        <v>18</v>
      </c>
      <c r="E1529" t="s">
        <v>9</v>
      </c>
      <c r="F1529" t="s">
        <v>16</v>
      </c>
      <c r="G1529">
        <v>11</v>
      </c>
      <c r="H1529" s="15">
        <v>100</v>
      </c>
    </row>
    <row r="1530" spans="2:8" x14ac:dyDescent="0.25">
      <c r="B1530" s="14">
        <v>44783</v>
      </c>
      <c r="C1530" t="s">
        <v>24</v>
      </c>
      <c r="D1530" t="s">
        <v>18</v>
      </c>
      <c r="E1530" t="s">
        <v>13</v>
      </c>
      <c r="F1530" t="s">
        <v>10</v>
      </c>
      <c r="G1530">
        <v>23</v>
      </c>
      <c r="H1530" s="15">
        <v>135</v>
      </c>
    </row>
    <row r="1531" spans="2:8" x14ac:dyDescent="0.25">
      <c r="B1531" s="14">
        <v>44784</v>
      </c>
      <c r="C1531" t="s">
        <v>11</v>
      </c>
      <c r="D1531" t="s">
        <v>12</v>
      </c>
      <c r="E1531" t="s">
        <v>13</v>
      </c>
      <c r="F1531" t="s">
        <v>14</v>
      </c>
      <c r="G1531">
        <v>63</v>
      </c>
      <c r="H1531" s="15">
        <v>87</v>
      </c>
    </row>
    <row r="1532" spans="2:8" x14ac:dyDescent="0.25">
      <c r="B1532" s="14">
        <v>44784</v>
      </c>
      <c r="C1532" t="s">
        <v>15</v>
      </c>
      <c r="D1532" t="s">
        <v>8</v>
      </c>
      <c r="E1532" t="s">
        <v>9</v>
      </c>
      <c r="F1532" t="s">
        <v>10</v>
      </c>
      <c r="G1532">
        <v>38</v>
      </c>
      <c r="H1532" s="15">
        <v>128</v>
      </c>
    </row>
    <row r="1533" spans="2:8" x14ac:dyDescent="0.25">
      <c r="B1533" s="14">
        <v>44784</v>
      </c>
      <c r="C1533" t="s">
        <v>15</v>
      </c>
      <c r="D1533" t="s">
        <v>8</v>
      </c>
      <c r="E1533" t="s">
        <v>9</v>
      </c>
      <c r="F1533" t="s">
        <v>10</v>
      </c>
      <c r="G1533">
        <v>49</v>
      </c>
      <c r="H1533" s="15">
        <v>132</v>
      </c>
    </row>
    <row r="1534" spans="2:8" x14ac:dyDescent="0.25">
      <c r="B1534" s="14">
        <v>44784</v>
      </c>
      <c r="C1534" t="s">
        <v>22</v>
      </c>
      <c r="D1534" t="s">
        <v>12</v>
      </c>
      <c r="E1534" t="s">
        <v>13</v>
      </c>
      <c r="F1534" t="s">
        <v>16</v>
      </c>
      <c r="G1534">
        <v>52</v>
      </c>
      <c r="H1534" s="15">
        <v>126</v>
      </c>
    </row>
    <row r="1535" spans="2:8" x14ac:dyDescent="0.25">
      <c r="B1535" s="14">
        <v>44784</v>
      </c>
      <c r="C1535" t="s">
        <v>24</v>
      </c>
      <c r="D1535" t="s">
        <v>18</v>
      </c>
      <c r="E1535" t="s">
        <v>9</v>
      </c>
      <c r="F1535" t="s">
        <v>16</v>
      </c>
      <c r="G1535">
        <v>81</v>
      </c>
      <c r="H1535" s="15">
        <v>98</v>
      </c>
    </row>
    <row r="1536" spans="2:8" x14ac:dyDescent="0.25">
      <c r="B1536" s="14">
        <v>44784</v>
      </c>
      <c r="C1536" t="s">
        <v>26</v>
      </c>
      <c r="D1536" t="s">
        <v>12</v>
      </c>
      <c r="E1536" t="s">
        <v>13</v>
      </c>
      <c r="F1536" t="s">
        <v>14</v>
      </c>
      <c r="G1536">
        <v>39</v>
      </c>
      <c r="H1536" s="15">
        <v>20</v>
      </c>
    </row>
    <row r="1537" spans="2:8" x14ac:dyDescent="0.25">
      <c r="B1537" s="14">
        <v>44784</v>
      </c>
      <c r="C1537" t="s">
        <v>27</v>
      </c>
      <c r="D1537" t="s">
        <v>18</v>
      </c>
      <c r="E1537" t="s">
        <v>9</v>
      </c>
      <c r="F1537" t="s">
        <v>16</v>
      </c>
      <c r="G1537">
        <v>46</v>
      </c>
      <c r="H1537" s="15">
        <v>146</v>
      </c>
    </row>
    <row r="1538" spans="2:8" x14ac:dyDescent="0.25">
      <c r="B1538" s="14">
        <v>44784</v>
      </c>
      <c r="C1538" t="s">
        <v>7</v>
      </c>
      <c r="D1538" t="s">
        <v>8</v>
      </c>
      <c r="E1538" t="s">
        <v>9</v>
      </c>
      <c r="F1538" t="s">
        <v>16</v>
      </c>
      <c r="G1538">
        <v>44</v>
      </c>
      <c r="H1538" s="15">
        <v>61</v>
      </c>
    </row>
    <row r="1539" spans="2:8" x14ac:dyDescent="0.25">
      <c r="B1539" s="14">
        <v>44784</v>
      </c>
      <c r="C1539" t="s">
        <v>17</v>
      </c>
      <c r="D1539" t="s">
        <v>18</v>
      </c>
      <c r="E1539" t="s">
        <v>9</v>
      </c>
      <c r="F1539" t="s">
        <v>14</v>
      </c>
      <c r="G1539">
        <v>23</v>
      </c>
      <c r="H1539" s="15">
        <v>38</v>
      </c>
    </row>
    <row r="1540" spans="2:8" x14ac:dyDescent="0.25">
      <c r="B1540" s="14">
        <v>44784</v>
      </c>
      <c r="C1540" t="s">
        <v>27</v>
      </c>
      <c r="D1540" t="s">
        <v>18</v>
      </c>
      <c r="E1540" t="s">
        <v>9</v>
      </c>
      <c r="F1540" t="s">
        <v>14</v>
      </c>
      <c r="G1540">
        <v>65</v>
      </c>
      <c r="H1540" s="15">
        <v>96</v>
      </c>
    </row>
    <row r="1541" spans="2:8" x14ac:dyDescent="0.25">
      <c r="B1541" s="14">
        <v>44784</v>
      </c>
      <c r="C1541" t="s">
        <v>23</v>
      </c>
      <c r="D1541" t="s">
        <v>18</v>
      </c>
      <c r="E1541" t="s">
        <v>9</v>
      </c>
      <c r="F1541" t="s">
        <v>14</v>
      </c>
      <c r="G1541">
        <v>93</v>
      </c>
      <c r="H1541" s="15">
        <v>82</v>
      </c>
    </row>
    <row r="1542" spans="2:8" x14ac:dyDescent="0.25">
      <c r="B1542" s="14">
        <v>44785</v>
      </c>
      <c r="C1542" t="s">
        <v>11</v>
      </c>
      <c r="D1542" t="s">
        <v>12</v>
      </c>
      <c r="E1542" t="s">
        <v>9</v>
      </c>
      <c r="F1542" t="s">
        <v>16</v>
      </c>
      <c r="G1542">
        <v>59</v>
      </c>
      <c r="H1542" s="15">
        <v>87</v>
      </c>
    </row>
    <row r="1543" spans="2:8" x14ac:dyDescent="0.25">
      <c r="B1543" s="14">
        <v>44785</v>
      </c>
      <c r="C1543" t="s">
        <v>23</v>
      </c>
      <c r="D1543" t="s">
        <v>18</v>
      </c>
      <c r="E1543" t="s">
        <v>13</v>
      </c>
      <c r="F1543" t="s">
        <v>16</v>
      </c>
      <c r="G1543">
        <v>83</v>
      </c>
      <c r="H1543" s="15">
        <v>25</v>
      </c>
    </row>
    <row r="1544" spans="2:8" x14ac:dyDescent="0.25">
      <c r="B1544" s="14">
        <v>44785</v>
      </c>
      <c r="C1544" t="s">
        <v>17</v>
      </c>
      <c r="D1544" t="s">
        <v>18</v>
      </c>
      <c r="E1544" t="s">
        <v>9</v>
      </c>
      <c r="F1544" t="s">
        <v>14</v>
      </c>
      <c r="G1544">
        <v>10</v>
      </c>
      <c r="H1544" s="15">
        <v>116</v>
      </c>
    </row>
    <row r="1545" spans="2:8" x14ac:dyDescent="0.25">
      <c r="B1545" s="14">
        <v>44785</v>
      </c>
      <c r="C1545" t="s">
        <v>26</v>
      </c>
      <c r="D1545" t="s">
        <v>12</v>
      </c>
      <c r="E1545" t="s">
        <v>13</v>
      </c>
      <c r="F1545" t="s">
        <v>16</v>
      </c>
      <c r="G1545">
        <v>61</v>
      </c>
      <c r="H1545" s="15">
        <v>44</v>
      </c>
    </row>
    <row r="1546" spans="2:8" x14ac:dyDescent="0.25">
      <c r="B1546" s="14">
        <v>44785</v>
      </c>
      <c r="C1546" t="s">
        <v>7</v>
      </c>
      <c r="D1546" t="s">
        <v>8</v>
      </c>
      <c r="E1546" t="s">
        <v>9</v>
      </c>
      <c r="F1546" t="s">
        <v>16</v>
      </c>
      <c r="G1546">
        <v>54</v>
      </c>
      <c r="H1546" s="15">
        <v>119</v>
      </c>
    </row>
    <row r="1547" spans="2:8" x14ac:dyDescent="0.25">
      <c r="B1547" s="14">
        <v>44785</v>
      </c>
      <c r="C1547" t="s">
        <v>28</v>
      </c>
      <c r="D1547" t="s">
        <v>8</v>
      </c>
      <c r="E1547" t="s">
        <v>9</v>
      </c>
      <c r="F1547" t="s">
        <v>10</v>
      </c>
      <c r="G1547">
        <v>60</v>
      </c>
      <c r="H1547" s="15">
        <v>150</v>
      </c>
    </row>
    <row r="1548" spans="2:8" x14ac:dyDescent="0.25">
      <c r="B1548" s="14">
        <v>44786</v>
      </c>
      <c r="C1548" t="s">
        <v>19</v>
      </c>
      <c r="D1548" t="s">
        <v>12</v>
      </c>
      <c r="E1548" t="s">
        <v>9</v>
      </c>
      <c r="F1548" t="s">
        <v>14</v>
      </c>
      <c r="G1548">
        <v>18</v>
      </c>
      <c r="H1548" s="15">
        <v>142</v>
      </c>
    </row>
    <row r="1549" spans="2:8" x14ac:dyDescent="0.25">
      <c r="B1549" s="14">
        <v>44786</v>
      </c>
      <c r="C1549" t="s">
        <v>28</v>
      </c>
      <c r="D1549" t="s">
        <v>8</v>
      </c>
      <c r="E1549" t="s">
        <v>9</v>
      </c>
      <c r="F1549" t="s">
        <v>16</v>
      </c>
      <c r="G1549">
        <v>42</v>
      </c>
      <c r="H1549" s="15">
        <v>78</v>
      </c>
    </row>
    <row r="1550" spans="2:8" x14ac:dyDescent="0.25">
      <c r="B1550" s="14">
        <v>44786</v>
      </c>
      <c r="C1550" t="s">
        <v>27</v>
      </c>
      <c r="D1550" t="s">
        <v>18</v>
      </c>
      <c r="E1550" t="s">
        <v>13</v>
      </c>
      <c r="F1550" t="s">
        <v>10</v>
      </c>
      <c r="G1550">
        <v>52</v>
      </c>
      <c r="H1550" s="15">
        <v>104</v>
      </c>
    </row>
    <row r="1551" spans="2:8" x14ac:dyDescent="0.25">
      <c r="B1551" s="14">
        <v>44786</v>
      </c>
      <c r="C1551" t="s">
        <v>21</v>
      </c>
      <c r="D1551" t="s">
        <v>8</v>
      </c>
      <c r="E1551" t="s">
        <v>9</v>
      </c>
      <c r="F1551" t="s">
        <v>14</v>
      </c>
      <c r="G1551">
        <v>70</v>
      </c>
      <c r="H1551" s="15">
        <v>122</v>
      </c>
    </row>
    <row r="1552" spans="2:8" x14ac:dyDescent="0.25">
      <c r="B1552" s="14">
        <v>44786</v>
      </c>
      <c r="C1552" t="s">
        <v>23</v>
      </c>
      <c r="D1552" t="s">
        <v>18</v>
      </c>
      <c r="E1552" t="s">
        <v>9</v>
      </c>
      <c r="F1552" t="s">
        <v>16</v>
      </c>
      <c r="G1552">
        <v>23</v>
      </c>
      <c r="H1552" s="15">
        <v>121</v>
      </c>
    </row>
    <row r="1553" spans="2:8" x14ac:dyDescent="0.25">
      <c r="B1553" s="14">
        <v>44787</v>
      </c>
      <c r="C1553" t="s">
        <v>7</v>
      </c>
      <c r="D1553" t="s">
        <v>8</v>
      </c>
      <c r="E1553" t="s">
        <v>9</v>
      </c>
      <c r="F1553" t="s">
        <v>14</v>
      </c>
      <c r="G1553">
        <v>94</v>
      </c>
      <c r="H1553" s="15">
        <v>79</v>
      </c>
    </row>
    <row r="1554" spans="2:8" x14ac:dyDescent="0.25">
      <c r="B1554" s="14">
        <v>44787</v>
      </c>
      <c r="C1554" t="s">
        <v>24</v>
      </c>
      <c r="D1554" t="s">
        <v>18</v>
      </c>
      <c r="E1554" t="s">
        <v>13</v>
      </c>
      <c r="F1554" t="s">
        <v>16</v>
      </c>
      <c r="G1554">
        <v>29</v>
      </c>
      <c r="H1554" s="15">
        <v>70</v>
      </c>
    </row>
    <row r="1555" spans="2:8" x14ac:dyDescent="0.25">
      <c r="B1555" s="14">
        <v>44787</v>
      </c>
      <c r="C1555" t="s">
        <v>29</v>
      </c>
      <c r="D1555" t="s">
        <v>18</v>
      </c>
      <c r="E1555" t="s">
        <v>13</v>
      </c>
      <c r="F1555" t="s">
        <v>14</v>
      </c>
      <c r="G1555">
        <v>30</v>
      </c>
      <c r="H1555" s="15">
        <v>145</v>
      </c>
    </row>
    <row r="1556" spans="2:8" x14ac:dyDescent="0.25">
      <c r="B1556" s="14">
        <v>44788</v>
      </c>
      <c r="C1556" t="s">
        <v>22</v>
      </c>
      <c r="D1556" t="s">
        <v>12</v>
      </c>
      <c r="E1556" t="s">
        <v>9</v>
      </c>
      <c r="F1556" t="s">
        <v>14</v>
      </c>
      <c r="G1556">
        <v>13</v>
      </c>
      <c r="H1556" s="15">
        <v>133</v>
      </c>
    </row>
    <row r="1557" spans="2:8" x14ac:dyDescent="0.25">
      <c r="B1557" s="14">
        <v>44788</v>
      </c>
      <c r="C1557" t="s">
        <v>17</v>
      </c>
      <c r="D1557" t="s">
        <v>18</v>
      </c>
      <c r="E1557" t="s">
        <v>13</v>
      </c>
      <c r="F1557" t="s">
        <v>10</v>
      </c>
      <c r="G1557">
        <v>80</v>
      </c>
      <c r="H1557" s="15">
        <v>69</v>
      </c>
    </row>
    <row r="1558" spans="2:8" x14ac:dyDescent="0.25">
      <c r="B1558" s="14">
        <v>44788</v>
      </c>
      <c r="C1558" t="s">
        <v>21</v>
      </c>
      <c r="D1558" t="s">
        <v>8</v>
      </c>
      <c r="E1558" t="s">
        <v>13</v>
      </c>
      <c r="F1558" t="s">
        <v>16</v>
      </c>
      <c r="G1558">
        <v>64</v>
      </c>
      <c r="H1558" s="15">
        <v>115</v>
      </c>
    </row>
    <row r="1559" spans="2:8" x14ac:dyDescent="0.25">
      <c r="B1559" s="14">
        <v>44788</v>
      </c>
      <c r="C1559" t="s">
        <v>19</v>
      </c>
      <c r="D1559" t="s">
        <v>12</v>
      </c>
      <c r="E1559" t="s">
        <v>13</v>
      </c>
      <c r="F1559" t="s">
        <v>10</v>
      </c>
      <c r="G1559">
        <v>18</v>
      </c>
      <c r="H1559" s="15">
        <v>76</v>
      </c>
    </row>
    <row r="1560" spans="2:8" x14ac:dyDescent="0.25">
      <c r="B1560" s="14">
        <v>44788</v>
      </c>
      <c r="C1560" t="s">
        <v>23</v>
      </c>
      <c r="D1560" t="s">
        <v>18</v>
      </c>
      <c r="E1560" t="s">
        <v>9</v>
      </c>
      <c r="F1560" t="s">
        <v>14</v>
      </c>
      <c r="G1560">
        <v>92</v>
      </c>
      <c r="H1560" s="15">
        <v>88</v>
      </c>
    </row>
    <row r="1561" spans="2:8" x14ac:dyDescent="0.25">
      <c r="B1561" s="14">
        <v>44788</v>
      </c>
      <c r="C1561" t="s">
        <v>19</v>
      </c>
      <c r="D1561" t="s">
        <v>12</v>
      </c>
      <c r="E1561" t="s">
        <v>9</v>
      </c>
      <c r="F1561" t="s">
        <v>14</v>
      </c>
      <c r="G1561">
        <v>72</v>
      </c>
      <c r="H1561" s="15">
        <v>146</v>
      </c>
    </row>
    <row r="1562" spans="2:8" x14ac:dyDescent="0.25">
      <c r="B1562" s="14">
        <v>44788</v>
      </c>
      <c r="C1562" t="s">
        <v>20</v>
      </c>
      <c r="D1562" t="s">
        <v>8</v>
      </c>
      <c r="E1562" t="s">
        <v>13</v>
      </c>
      <c r="F1562" t="s">
        <v>14</v>
      </c>
      <c r="G1562">
        <v>62</v>
      </c>
      <c r="H1562" s="15">
        <v>61</v>
      </c>
    </row>
    <row r="1563" spans="2:8" x14ac:dyDescent="0.25">
      <c r="B1563" s="14">
        <v>44788</v>
      </c>
      <c r="C1563" t="s">
        <v>7</v>
      </c>
      <c r="D1563" t="s">
        <v>8</v>
      </c>
      <c r="E1563" t="s">
        <v>13</v>
      </c>
      <c r="F1563" t="s">
        <v>16</v>
      </c>
      <c r="G1563">
        <v>69</v>
      </c>
      <c r="H1563" s="15">
        <v>45</v>
      </c>
    </row>
    <row r="1564" spans="2:8" x14ac:dyDescent="0.25">
      <c r="B1564" s="14">
        <v>44788</v>
      </c>
      <c r="C1564" t="s">
        <v>22</v>
      </c>
      <c r="D1564" t="s">
        <v>12</v>
      </c>
      <c r="E1564" t="s">
        <v>9</v>
      </c>
      <c r="F1564" t="s">
        <v>14</v>
      </c>
      <c r="G1564">
        <v>56</v>
      </c>
      <c r="H1564" s="15">
        <v>62</v>
      </c>
    </row>
    <row r="1565" spans="2:8" x14ac:dyDescent="0.25">
      <c r="B1565" s="14">
        <v>44788</v>
      </c>
      <c r="C1565" t="s">
        <v>24</v>
      </c>
      <c r="D1565" t="s">
        <v>18</v>
      </c>
      <c r="E1565" t="s">
        <v>9</v>
      </c>
      <c r="F1565" t="s">
        <v>16</v>
      </c>
      <c r="G1565">
        <v>75</v>
      </c>
      <c r="H1565" s="15">
        <v>106</v>
      </c>
    </row>
    <row r="1566" spans="2:8" x14ac:dyDescent="0.25">
      <c r="B1566" s="14">
        <v>44788</v>
      </c>
      <c r="C1566" t="s">
        <v>21</v>
      </c>
      <c r="D1566" t="s">
        <v>8</v>
      </c>
      <c r="E1566" t="s">
        <v>9</v>
      </c>
      <c r="F1566" t="s">
        <v>14</v>
      </c>
      <c r="G1566">
        <v>45</v>
      </c>
      <c r="H1566" s="15">
        <v>124</v>
      </c>
    </row>
    <row r="1567" spans="2:8" x14ac:dyDescent="0.25">
      <c r="B1567" s="14">
        <v>44788</v>
      </c>
      <c r="C1567" t="s">
        <v>28</v>
      </c>
      <c r="D1567" t="s">
        <v>8</v>
      </c>
      <c r="E1567" t="s">
        <v>13</v>
      </c>
      <c r="F1567" t="s">
        <v>14</v>
      </c>
      <c r="G1567">
        <v>60</v>
      </c>
      <c r="H1567" s="15">
        <v>44</v>
      </c>
    </row>
    <row r="1568" spans="2:8" x14ac:dyDescent="0.25">
      <c r="B1568" s="14">
        <v>44789</v>
      </c>
      <c r="C1568" t="s">
        <v>19</v>
      </c>
      <c r="D1568" t="s">
        <v>12</v>
      </c>
      <c r="E1568" t="s">
        <v>13</v>
      </c>
      <c r="F1568" t="s">
        <v>10</v>
      </c>
      <c r="G1568">
        <v>41</v>
      </c>
      <c r="H1568" s="15">
        <v>57</v>
      </c>
    </row>
    <row r="1569" spans="2:8" x14ac:dyDescent="0.25">
      <c r="B1569" s="14">
        <v>44789</v>
      </c>
      <c r="C1569" t="s">
        <v>19</v>
      </c>
      <c r="D1569" t="s">
        <v>12</v>
      </c>
      <c r="E1569" t="s">
        <v>13</v>
      </c>
      <c r="F1569" t="s">
        <v>10</v>
      </c>
      <c r="G1569">
        <v>48</v>
      </c>
      <c r="H1569" s="15">
        <v>72</v>
      </c>
    </row>
    <row r="1570" spans="2:8" x14ac:dyDescent="0.25">
      <c r="B1570" s="14">
        <v>44789</v>
      </c>
      <c r="C1570" t="s">
        <v>22</v>
      </c>
      <c r="D1570" t="s">
        <v>12</v>
      </c>
      <c r="E1570" t="s">
        <v>13</v>
      </c>
      <c r="F1570" t="s">
        <v>16</v>
      </c>
      <c r="G1570">
        <v>92</v>
      </c>
      <c r="H1570" s="15">
        <v>33</v>
      </c>
    </row>
    <row r="1571" spans="2:8" x14ac:dyDescent="0.25">
      <c r="B1571" s="14">
        <v>44789</v>
      </c>
      <c r="C1571" t="s">
        <v>11</v>
      </c>
      <c r="D1571" t="s">
        <v>12</v>
      </c>
      <c r="E1571" t="s">
        <v>13</v>
      </c>
      <c r="F1571" t="s">
        <v>10</v>
      </c>
      <c r="G1571">
        <v>58</v>
      </c>
      <c r="H1571" s="15">
        <v>88</v>
      </c>
    </row>
    <row r="1572" spans="2:8" x14ac:dyDescent="0.25">
      <c r="B1572" s="14">
        <v>44789</v>
      </c>
      <c r="C1572" t="s">
        <v>21</v>
      </c>
      <c r="D1572" t="s">
        <v>8</v>
      </c>
      <c r="E1572" t="s">
        <v>13</v>
      </c>
      <c r="F1572" t="s">
        <v>14</v>
      </c>
      <c r="G1572">
        <v>88</v>
      </c>
      <c r="H1572" s="15">
        <v>30</v>
      </c>
    </row>
    <row r="1573" spans="2:8" x14ac:dyDescent="0.25">
      <c r="B1573" s="14">
        <v>44789</v>
      </c>
      <c r="C1573" t="s">
        <v>25</v>
      </c>
      <c r="D1573" t="s">
        <v>12</v>
      </c>
      <c r="E1573" t="s">
        <v>9</v>
      </c>
      <c r="F1573" t="s">
        <v>10</v>
      </c>
      <c r="G1573">
        <v>50</v>
      </c>
      <c r="H1573" s="15">
        <v>75</v>
      </c>
    </row>
    <row r="1574" spans="2:8" x14ac:dyDescent="0.25">
      <c r="B1574" s="14">
        <v>44789</v>
      </c>
      <c r="C1574" t="s">
        <v>26</v>
      </c>
      <c r="D1574" t="s">
        <v>12</v>
      </c>
      <c r="E1574" t="s">
        <v>9</v>
      </c>
      <c r="F1574" t="s">
        <v>16</v>
      </c>
      <c r="G1574">
        <v>10</v>
      </c>
      <c r="H1574" s="15">
        <v>76</v>
      </c>
    </row>
    <row r="1575" spans="2:8" x14ac:dyDescent="0.25">
      <c r="B1575" s="14">
        <v>44790</v>
      </c>
      <c r="C1575" t="s">
        <v>20</v>
      </c>
      <c r="D1575" t="s">
        <v>8</v>
      </c>
      <c r="E1575" t="s">
        <v>9</v>
      </c>
      <c r="F1575" t="s">
        <v>10</v>
      </c>
      <c r="G1575">
        <v>80</v>
      </c>
      <c r="H1575" s="15">
        <v>150</v>
      </c>
    </row>
    <row r="1576" spans="2:8" x14ac:dyDescent="0.25">
      <c r="B1576" s="14">
        <v>44790</v>
      </c>
      <c r="C1576" t="s">
        <v>24</v>
      </c>
      <c r="D1576" t="s">
        <v>18</v>
      </c>
      <c r="E1576" t="s">
        <v>9</v>
      </c>
      <c r="F1576" t="s">
        <v>16</v>
      </c>
      <c r="G1576">
        <v>39</v>
      </c>
      <c r="H1576" s="15">
        <v>42</v>
      </c>
    </row>
    <row r="1577" spans="2:8" x14ac:dyDescent="0.25">
      <c r="B1577" s="14">
        <v>44790</v>
      </c>
      <c r="C1577" t="s">
        <v>19</v>
      </c>
      <c r="D1577" t="s">
        <v>12</v>
      </c>
      <c r="E1577" t="s">
        <v>13</v>
      </c>
      <c r="F1577" t="s">
        <v>16</v>
      </c>
      <c r="G1577">
        <v>31</v>
      </c>
      <c r="H1577" s="15">
        <v>42</v>
      </c>
    </row>
    <row r="1578" spans="2:8" x14ac:dyDescent="0.25">
      <c r="B1578" s="14">
        <v>44790</v>
      </c>
      <c r="C1578" t="s">
        <v>29</v>
      </c>
      <c r="D1578" t="s">
        <v>18</v>
      </c>
      <c r="E1578" t="s">
        <v>13</v>
      </c>
      <c r="F1578" t="s">
        <v>16</v>
      </c>
      <c r="G1578">
        <v>43</v>
      </c>
      <c r="H1578" s="15">
        <v>87</v>
      </c>
    </row>
    <row r="1579" spans="2:8" x14ac:dyDescent="0.25">
      <c r="B1579" s="14">
        <v>44791</v>
      </c>
      <c r="C1579" t="s">
        <v>20</v>
      </c>
      <c r="D1579" t="s">
        <v>8</v>
      </c>
      <c r="E1579" t="s">
        <v>13</v>
      </c>
      <c r="F1579" t="s">
        <v>10</v>
      </c>
      <c r="G1579">
        <v>39</v>
      </c>
      <c r="H1579" s="15">
        <v>79</v>
      </c>
    </row>
    <row r="1580" spans="2:8" x14ac:dyDescent="0.25">
      <c r="B1580" s="14">
        <v>44791</v>
      </c>
      <c r="C1580" t="s">
        <v>22</v>
      </c>
      <c r="D1580" t="s">
        <v>12</v>
      </c>
      <c r="E1580" t="s">
        <v>13</v>
      </c>
      <c r="F1580" t="s">
        <v>10</v>
      </c>
      <c r="G1580">
        <v>29</v>
      </c>
      <c r="H1580" s="15">
        <v>75</v>
      </c>
    </row>
    <row r="1581" spans="2:8" x14ac:dyDescent="0.25">
      <c r="B1581" s="14">
        <v>44791</v>
      </c>
      <c r="C1581" t="s">
        <v>23</v>
      </c>
      <c r="D1581" t="s">
        <v>18</v>
      </c>
      <c r="E1581" t="s">
        <v>9</v>
      </c>
      <c r="F1581" t="s">
        <v>16</v>
      </c>
      <c r="G1581">
        <v>27</v>
      </c>
      <c r="H1581" s="15">
        <v>38</v>
      </c>
    </row>
    <row r="1582" spans="2:8" x14ac:dyDescent="0.25">
      <c r="B1582" s="14">
        <v>44791</v>
      </c>
      <c r="C1582" t="s">
        <v>19</v>
      </c>
      <c r="D1582" t="s">
        <v>12</v>
      </c>
      <c r="E1582" t="s">
        <v>13</v>
      </c>
      <c r="F1582" t="s">
        <v>16</v>
      </c>
      <c r="G1582">
        <v>21</v>
      </c>
      <c r="H1582" s="15">
        <v>128</v>
      </c>
    </row>
    <row r="1583" spans="2:8" x14ac:dyDescent="0.25">
      <c r="B1583" s="14">
        <v>44791</v>
      </c>
      <c r="C1583" t="s">
        <v>29</v>
      </c>
      <c r="D1583" t="s">
        <v>18</v>
      </c>
      <c r="E1583" t="s">
        <v>13</v>
      </c>
      <c r="F1583" t="s">
        <v>10</v>
      </c>
      <c r="G1583">
        <v>25</v>
      </c>
      <c r="H1583" s="15">
        <v>96</v>
      </c>
    </row>
    <row r="1584" spans="2:8" x14ac:dyDescent="0.25">
      <c r="B1584" s="14">
        <v>44791</v>
      </c>
      <c r="C1584" t="s">
        <v>15</v>
      </c>
      <c r="D1584" t="s">
        <v>8</v>
      </c>
      <c r="E1584" t="s">
        <v>9</v>
      </c>
      <c r="F1584" t="s">
        <v>14</v>
      </c>
      <c r="G1584">
        <v>98</v>
      </c>
      <c r="H1584" s="15">
        <v>76</v>
      </c>
    </row>
    <row r="1585" spans="2:8" x14ac:dyDescent="0.25">
      <c r="B1585" s="14">
        <v>44791</v>
      </c>
      <c r="C1585" t="s">
        <v>21</v>
      </c>
      <c r="D1585" t="s">
        <v>8</v>
      </c>
      <c r="E1585" t="s">
        <v>13</v>
      </c>
      <c r="F1585" t="s">
        <v>10</v>
      </c>
      <c r="G1585">
        <v>47</v>
      </c>
      <c r="H1585" s="15">
        <v>120</v>
      </c>
    </row>
    <row r="1586" spans="2:8" x14ac:dyDescent="0.25">
      <c r="B1586" s="14">
        <v>44791</v>
      </c>
      <c r="C1586" t="s">
        <v>19</v>
      </c>
      <c r="D1586" t="s">
        <v>12</v>
      </c>
      <c r="E1586" t="s">
        <v>13</v>
      </c>
      <c r="F1586" t="s">
        <v>14</v>
      </c>
      <c r="G1586">
        <v>89</v>
      </c>
      <c r="H1586" s="15">
        <v>64</v>
      </c>
    </row>
    <row r="1587" spans="2:8" x14ac:dyDescent="0.25">
      <c r="B1587" s="14">
        <v>44792</v>
      </c>
      <c r="C1587" t="s">
        <v>17</v>
      </c>
      <c r="D1587" t="s">
        <v>18</v>
      </c>
      <c r="E1587" t="s">
        <v>9</v>
      </c>
      <c r="F1587" t="s">
        <v>14</v>
      </c>
      <c r="G1587">
        <v>89</v>
      </c>
      <c r="H1587" s="15">
        <v>96</v>
      </c>
    </row>
    <row r="1588" spans="2:8" x14ac:dyDescent="0.25">
      <c r="B1588" s="14">
        <v>44792</v>
      </c>
      <c r="C1588" t="s">
        <v>20</v>
      </c>
      <c r="D1588" t="s">
        <v>8</v>
      </c>
      <c r="E1588" t="s">
        <v>9</v>
      </c>
      <c r="F1588" t="s">
        <v>14</v>
      </c>
      <c r="G1588">
        <v>43</v>
      </c>
      <c r="H1588" s="15">
        <v>35</v>
      </c>
    </row>
    <row r="1589" spans="2:8" x14ac:dyDescent="0.25">
      <c r="B1589" s="14">
        <v>44792</v>
      </c>
      <c r="C1589" t="s">
        <v>27</v>
      </c>
      <c r="D1589" t="s">
        <v>18</v>
      </c>
      <c r="E1589" t="s">
        <v>13</v>
      </c>
      <c r="F1589" t="s">
        <v>14</v>
      </c>
      <c r="G1589">
        <v>64</v>
      </c>
      <c r="H1589" s="15">
        <v>142</v>
      </c>
    </row>
    <row r="1590" spans="2:8" x14ac:dyDescent="0.25">
      <c r="B1590" s="14">
        <v>44792</v>
      </c>
      <c r="C1590" t="s">
        <v>11</v>
      </c>
      <c r="D1590" t="s">
        <v>12</v>
      </c>
      <c r="E1590" t="s">
        <v>9</v>
      </c>
      <c r="F1590" t="s">
        <v>10</v>
      </c>
      <c r="G1590">
        <v>79</v>
      </c>
      <c r="H1590" s="15">
        <v>146</v>
      </c>
    </row>
    <row r="1591" spans="2:8" x14ac:dyDescent="0.25">
      <c r="B1591" s="14">
        <v>44792</v>
      </c>
      <c r="C1591" t="s">
        <v>22</v>
      </c>
      <c r="D1591" t="s">
        <v>12</v>
      </c>
      <c r="E1591" t="s">
        <v>13</v>
      </c>
      <c r="F1591" t="s">
        <v>16</v>
      </c>
      <c r="G1591">
        <v>75</v>
      </c>
      <c r="H1591" s="15">
        <v>127</v>
      </c>
    </row>
    <row r="1592" spans="2:8" x14ac:dyDescent="0.25">
      <c r="B1592" s="14">
        <v>44793</v>
      </c>
      <c r="C1592" t="s">
        <v>21</v>
      </c>
      <c r="D1592" t="s">
        <v>8</v>
      </c>
      <c r="E1592" t="s">
        <v>9</v>
      </c>
      <c r="F1592" t="s">
        <v>16</v>
      </c>
      <c r="G1592">
        <v>85</v>
      </c>
      <c r="H1592" s="15">
        <v>39</v>
      </c>
    </row>
    <row r="1593" spans="2:8" x14ac:dyDescent="0.25">
      <c r="B1593" s="14">
        <v>44793</v>
      </c>
      <c r="C1593" t="s">
        <v>21</v>
      </c>
      <c r="D1593" t="s">
        <v>8</v>
      </c>
      <c r="E1593" t="s">
        <v>9</v>
      </c>
      <c r="F1593" t="s">
        <v>16</v>
      </c>
      <c r="G1593">
        <v>69</v>
      </c>
      <c r="H1593" s="15">
        <v>23</v>
      </c>
    </row>
    <row r="1594" spans="2:8" x14ac:dyDescent="0.25">
      <c r="B1594" s="14">
        <v>44793</v>
      </c>
      <c r="C1594" t="s">
        <v>20</v>
      </c>
      <c r="D1594" t="s">
        <v>8</v>
      </c>
      <c r="E1594" t="s">
        <v>13</v>
      </c>
      <c r="F1594" t="s">
        <v>16</v>
      </c>
      <c r="G1594">
        <v>32</v>
      </c>
      <c r="H1594" s="15">
        <v>81</v>
      </c>
    </row>
    <row r="1595" spans="2:8" x14ac:dyDescent="0.25">
      <c r="B1595" s="14">
        <v>44793</v>
      </c>
      <c r="C1595" t="s">
        <v>17</v>
      </c>
      <c r="D1595" t="s">
        <v>18</v>
      </c>
      <c r="E1595" t="s">
        <v>13</v>
      </c>
      <c r="F1595" t="s">
        <v>16</v>
      </c>
      <c r="G1595">
        <v>56</v>
      </c>
      <c r="H1595" s="15">
        <v>51</v>
      </c>
    </row>
    <row r="1596" spans="2:8" x14ac:dyDescent="0.25">
      <c r="B1596" s="14">
        <v>44793</v>
      </c>
      <c r="C1596" t="s">
        <v>23</v>
      </c>
      <c r="D1596" t="s">
        <v>18</v>
      </c>
      <c r="E1596" t="s">
        <v>13</v>
      </c>
      <c r="F1596" t="s">
        <v>14</v>
      </c>
      <c r="G1596">
        <v>89</v>
      </c>
      <c r="H1596" s="15">
        <v>63</v>
      </c>
    </row>
    <row r="1597" spans="2:8" x14ac:dyDescent="0.25">
      <c r="B1597" s="14">
        <v>44793</v>
      </c>
      <c r="C1597" t="s">
        <v>20</v>
      </c>
      <c r="D1597" t="s">
        <v>8</v>
      </c>
      <c r="E1597" t="s">
        <v>9</v>
      </c>
      <c r="F1597" t="s">
        <v>16</v>
      </c>
      <c r="G1597">
        <v>20</v>
      </c>
      <c r="H1597" s="15">
        <v>73</v>
      </c>
    </row>
    <row r="1598" spans="2:8" x14ac:dyDescent="0.25">
      <c r="B1598" s="14">
        <v>44793</v>
      </c>
      <c r="C1598" t="s">
        <v>27</v>
      </c>
      <c r="D1598" t="s">
        <v>18</v>
      </c>
      <c r="E1598" t="s">
        <v>13</v>
      </c>
      <c r="F1598" t="s">
        <v>14</v>
      </c>
      <c r="G1598">
        <v>97</v>
      </c>
      <c r="H1598" s="15">
        <v>119</v>
      </c>
    </row>
    <row r="1599" spans="2:8" x14ac:dyDescent="0.25">
      <c r="B1599" s="14">
        <v>44793</v>
      </c>
      <c r="C1599" t="s">
        <v>17</v>
      </c>
      <c r="D1599" t="s">
        <v>18</v>
      </c>
      <c r="E1599" t="s">
        <v>13</v>
      </c>
      <c r="F1599" t="s">
        <v>16</v>
      </c>
      <c r="G1599">
        <v>64</v>
      </c>
      <c r="H1599" s="15">
        <v>89</v>
      </c>
    </row>
    <row r="1600" spans="2:8" x14ac:dyDescent="0.25">
      <c r="B1600" s="14">
        <v>44793</v>
      </c>
      <c r="C1600" t="s">
        <v>24</v>
      </c>
      <c r="D1600" t="s">
        <v>18</v>
      </c>
      <c r="E1600" t="s">
        <v>9</v>
      </c>
      <c r="F1600" t="s">
        <v>10</v>
      </c>
      <c r="G1600">
        <v>39</v>
      </c>
      <c r="H1600" s="15">
        <v>141</v>
      </c>
    </row>
    <row r="1601" spans="2:8" x14ac:dyDescent="0.25">
      <c r="B1601" s="14">
        <v>44794</v>
      </c>
      <c r="C1601" t="s">
        <v>22</v>
      </c>
      <c r="D1601" t="s">
        <v>12</v>
      </c>
      <c r="E1601" t="s">
        <v>9</v>
      </c>
      <c r="F1601" t="s">
        <v>14</v>
      </c>
      <c r="G1601">
        <v>17</v>
      </c>
      <c r="H1601" s="15">
        <v>104</v>
      </c>
    </row>
    <row r="1602" spans="2:8" x14ac:dyDescent="0.25">
      <c r="B1602" s="14">
        <v>44794</v>
      </c>
      <c r="C1602" t="s">
        <v>27</v>
      </c>
      <c r="D1602" t="s">
        <v>18</v>
      </c>
      <c r="E1602" t="s">
        <v>13</v>
      </c>
      <c r="F1602" t="s">
        <v>10</v>
      </c>
      <c r="G1602">
        <v>78</v>
      </c>
      <c r="H1602" s="15">
        <v>30</v>
      </c>
    </row>
    <row r="1603" spans="2:8" x14ac:dyDescent="0.25">
      <c r="B1603" s="14">
        <v>44794</v>
      </c>
      <c r="C1603" t="s">
        <v>19</v>
      </c>
      <c r="D1603" t="s">
        <v>12</v>
      </c>
      <c r="E1603" t="s">
        <v>13</v>
      </c>
      <c r="F1603" t="s">
        <v>16</v>
      </c>
      <c r="G1603">
        <v>58</v>
      </c>
      <c r="H1603" s="15">
        <v>39</v>
      </c>
    </row>
    <row r="1604" spans="2:8" x14ac:dyDescent="0.25">
      <c r="B1604" s="14">
        <v>44794</v>
      </c>
      <c r="C1604" t="s">
        <v>20</v>
      </c>
      <c r="D1604" t="s">
        <v>8</v>
      </c>
      <c r="E1604" t="s">
        <v>9</v>
      </c>
      <c r="F1604" t="s">
        <v>16</v>
      </c>
      <c r="G1604">
        <v>35</v>
      </c>
      <c r="H1604" s="15">
        <v>117</v>
      </c>
    </row>
    <row r="1605" spans="2:8" x14ac:dyDescent="0.25">
      <c r="B1605" s="14">
        <v>44794</v>
      </c>
      <c r="C1605" t="s">
        <v>26</v>
      </c>
      <c r="D1605" t="s">
        <v>12</v>
      </c>
      <c r="E1605" t="s">
        <v>13</v>
      </c>
      <c r="F1605" t="s">
        <v>10</v>
      </c>
      <c r="G1605">
        <v>18</v>
      </c>
      <c r="H1605" s="15">
        <v>20</v>
      </c>
    </row>
    <row r="1606" spans="2:8" x14ac:dyDescent="0.25">
      <c r="B1606" s="14">
        <v>44794</v>
      </c>
      <c r="C1606" t="s">
        <v>15</v>
      </c>
      <c r="D1606" t="s">
        <v>8</v>
      </c>
      <c r="E1606" t="s">
        <v>9</v>
      </c>
      <c r="F1606" t="s">
        <v>10</v>
      </c>
      <c r="G1606">
        <v>16</v>
      </c>
      <c r="H1606" s="15">
        <v>80</v>
      </c>
    </row>
    <row r="1607" spans="2:8" x14ac:dyDescent="0.25">
      <c r="B1607" s="14">
        <v>44794</v>
      </c>
      <c r="C1607" t="s">
        <v>22</v>
      </c>
      <c r="D1607" t="s">
        <v>12</v>
      </c>
      <c r="E1607" t="s">
        <v>9</v>
      </c>
      <c r="F1607" t="s">
        <v>10</v>
      </c>
      <c r="G1607">
        <v>48</v>
      </c>
      <c r="H1607" s="15">
        <v>81</v>
      </c>
    </row>
    <row r="1608" spans="2:8" x14ac:dyDescent="0.25">
      <c r="B1608" s="14">
        <v>44795</v>
      </c>
      <c r="C1608" t="s">
        <v>29</v>
      </c>
      <c r="D1608" t="s">
        <v>18</v>
      </c>
      <c r="E1608" t="s">
        <v>9</v>
      </c>
      <c r="F1608" t="s">
        <v>10</v>
      </c>
      <c r="G1608">
        <v>87</v>
      </c>
      <c r="H1608" s="15">
        <v>119</v>
      </c>
    </row>
    <row r="1609" spans="2:8" x14ac:dyDescent="0.25">
      <c r="B1609" s="14">
        <v>44795</v>
      </c>
      <c r="C1609" t="s">
        <v>29</v>
      </c>
      <c r="D1609" t="s">
        <v>18</v>
      </c>
      <c r="E1609" t="s">
        <v>13</v>
      </c>
      <c r="F1609" t="s">
        <v>10</v>
      </c>
      <c r="G1609">
        <v>27</v>
      </c>
      <c r="H1609" s="15">
        <v>84</v>
      </c>
    </row>
    <row r="1610" spans="2:8" x14ac:dyDescent="0.25">
      <c r="B1610" s="14">
        <v>44795</v>
      </c>
      <c r="C1610" t="s">
        <v>20</v>
      </c>
      <c r="D1610" t="s">
        <v>8</v>
      </c>
      <c r="E1610" t="s">
        <v>13</v>
      </c>
      <c r="F1610" t="s">
        <v>16</v>
      </c>
      <c r="G1610">
        <v>13</v>
      </c>
      <c r="H1610" s="15">
        <v>115</v>
      </c>
    </row>
    <row r="1611" spans="2:8" x14ac:dyDescent="0.25">
      <c r="B1611" s="14">
        <v>44795</v>
      </c>
      <c r="C1611" t="s">
        <v>11</v>
      </c>
      <c r="D1611" t="s">
        <v>12</v>
      </c>
      <c r="E1611" t="s">
        <v>13</v>
      </c>
      <c r="F1611" t="s">
        <v>10</v>
      </c>
      <c r="G1611">
        <v>46</v>
      </c>
      <c r="H1611" s="15">
        <v>28</v>
      </c>
    </row>
    <row r="1612" spans="2:8" x14ac:dyDescent="0.25">
      <c r="B1612" s="14">
        <v>44795</v>
      </c>
      <c r="C1612" t="s">
        <v>23</v>
      </c>
      <c r="D1612" t="s">
        <v>18</v>
      </c>
      <c r="E1612" t="s">
        <v>9</v>
      </c>
      <c r="F1612" t="s">
        <v>10</v>
      </c>
      <c r="G1612">
        <v>50</v>
      </c>
      <c r="H1612" s="15">
        <v>39</v>
      </c>
    </row>
    <row r="1613" spans="2:8" x14ac:dyDescent="0.25">
      <c r="B1613" s="14">
        <v>44795</v>
      </c>
      <c r="C1613" t="s">
        <v>23</v>
      </c>
      <c r="D1613" t="s">
        <v>18</v>
      </c>
      <c r="E1613" t="s">
        <v>13</v>
      </c>
      <c r="F1613" t="s">
        <v>10</v>
      </c>
      <c r="G1613">
        <v>28</v>
      </c>
      <c r="H1613" s="15">
        <v>27</v>
      </c>
    </row>
    <row r="1614" spans="2:8" x14ac:dyDescent="0.25">
      <c r="B1614" s="14">
        <v>44795</v>
      </c>
      <c r="C1614" t="s">
        <v>27</v>
      </c>
      <c r="D1614" t="s">
        <v>18</v>
      </c>
      <c r="E1614" t="s">
        <v>13</v>
      </c>
      <c r="F1614" t="s">
        <v>14</v>
      </c>
      <c r="G1614">
        <v>66</v>
      </c>
      <c r="H1614" s="15">
        <v>125</v>
      </c>
    </row>
    <row r="1615" spans="2:8" x14ac:dyDescent="0.25">
      <c r="B1615" s="14">
        <v>44795</v>
      </c>
      <c r="C1615" t="s">
        <v>17</v>
      </c>
      <c r="D1615" t="s">
        <v>18</v>
      </c>
      <c r="E1615" t="s">
        <v>13</v>
      </c>
      <c r="F1615" t="s">
        <v>10</v>
      </c>
      <c r="G1615">
        <v>48</v>
      </c>
      <c r="H1615" s="15">
        <v>73</v>
      </c>
    </row>
    <row r="1616" spans="2:8" x14ac:dyDescent="0.25">
      <c r="B1616" s="14">
        <v>44796</v>
      </c>
      <c r="C1616" t="s">
        <v>15</v>
      </c>
      <c r="D1616" t="s">
        <v>8</v>
      </c>
      <c r="E1616" t="s">
        <v>13</v>
      </c>
      <c r="F1616" t="s">
        <v>14</v>
      </c>
      <c r="G1616">
        <v>58</v>
      </c>
      <c r="H1616" s="15">
        <v>75</v>
      </c>
    </row>
    <row r="1617" spans="2:8" x14ac:dyDescent="0.25">
      <c r="B1617" s="14">
        <v>44796</v>
      </c>
      <c r="C1617" t="s">
        <v>27</v>
      </c>
      <c r="D1617" t="s">
        <v>18</v>
      </c>
      <c r="E1617" t="s">
        <v>13</v>
      </c>
      <c r="F1617" t="s">
        <v>10</v>
      </c>
      <c r="G1617">
        <v>11</v>
      </c>
      <c r="H1617" s="15">
        <v>79</v>
      </c>
    </row>
    <row r="1618" spans="2:8" x14ac:dyDescent="0.25">
      <c r="B1618" s="14">
        <v>44796</v>
      </c>
      <c r="C1618" t="s">
        <v>21</v>
      </c>
      <c r="D1618" t="s">
        <v>8</v>
      </c>
      <c r="E1618" t="s">
        <v>9</v>
      </c>
      <c r="F1618" t="s">
        <v>16</v>
      </c>
      <c r="G1618">
        <v>77</v>
      </c>
      <c r="H1618" s="15">
        <v>61</v>
      </c>
    </row>
    <row r="1619" spans="2:8" x14ac:dyDescent="0.25">
      <c r="B1619" s="14">
        <v>44796</v>
      </c>
      <c r="C1619" t="s">
        <v>22</v>
      </c>
      <c r="D1619" t="s">
        <v>12</v>
      </c>
      <c r="E1619" t="s">
        <v>9</v>
      </c>
      <c r="F1619" t="s">
        <v>10</v>
      </c>
      <c r="G1619">
        <v>60</v>
      </c>
      <c r="H1619" s="15">
        <v>34</v>
      </c>
    </row>
    <row r="1620" spans="2:8" x14ac:dyDescent="0.25">
      <c r="B1620" s="14">
        <v>44796</v>
      </c>
      <c r="C1620" t="s">
        <v>26</v>
      </c>
      <c r="D1620" t="s">
        <v>12</v>
      </c>
      <c r="E1620" t="s">
        <v>9</v>
      </c>
      <c r="F1620" t="s">
        <v>16</v>
      </c>
      <c r="G1620">
        <v>53</v>
      </c>
      <c r="H1620" s="15">
        <v>59</v>
      </c>
    </row>
    <row r="1621" spans="2:8" x14ac:dyDescent="0.25">
      <c r="B1621" s="14">
        <v>44797</v>
      </c>
      <c r="C1621" t="s">
        <v>19</v>
      </c>
      <c r="D1621" t="s">
        <v>12</v>
      </c>
      <c r="E1621" t="s">
        <v>13</v>
      </c>
      <c r="F1621" t="s">
        <v>10</v>
      </c>
      <c r="G1621">
        <v>88</v>
      </c>
      <c r="H1621" s="15">
        <v>112</v>
      </c>
    </row>
    <row r="1622" spans="2:8" x14ac:dyDescent="0.25">
      <c r="B1622" s="14">
        <v>44797</v>
      </c>
      <c r="C1622" t="s">
        <v>24</v>
      </c>
      <c r="D1622" t="s">
        <v>18</v>
      </c>
      <c r="E1622" t="s">
        <v>13</v>
      </c>
      <c r="F1622" t="s">
        <v>16</v>
      </c>
      <c r="G1622">
        <v>39</v>
      </c>
      <c r="H1622" s="15">
        <v>106</v>
      </c>
    </row>
    <row r="1623" spans="2:8" x14ac:dyDescent="0.25">
      <c r="B1623" s="14">
        <v>44797</v>
      </c>
      <c r="C1623" t="s">
        <v>7</v>
      </c>
      <c r="D1623" t="s">
        <v>8</v>
      </c>
      <c r="E1623" t="s">
        <v>9</v>
      </c>
      <c r="F1623" t="s">
        <v>10</v>
      </c>
      <c r="G1623">
        <v>52</v>
      </c>
      <c r="H1623" s="15">
        <v>104</v>
      </c>
    </row>
    <row r="1624" spans="2:8" x14ac:dyDescent="0.25">
      <c r="B1624" s="14">
        <v>44797</v>
      </c>
      <c r="C1624" t="s">
        <v>19</v>
      </c>
      <c r="D1624" t="s">
        <v>12</v>
      </c>
      <c r="E1624" t="s">
        <v>13</v>
      </c>
      <c r="F1624" t="s">
        <v>16</v>
      </c>
      <c r="G1624">
        <v>51</v>
      </c>
      <c r="H1624" s="15">
        <v>45</v>
      </c>
    </row>
    <row r="1625" spans="2:8" x14ac:dyDescent="0.25">
      <c r="B1625" s="14">
        <v>44797</v>
      </c>
      <c r="C1625" t="s">
        <v>15</v>
      </c>
      <c r="D1625" t="s">
        <v>8</v>
      </c>
      <c r="E1625" t="s">
        <v>13</v>
      </c>
      <c r="F1625" t="s">
        <v>16</v>
      </c>
      <c r="G1625">
        <v>18</v>
      </c>
      <c r="H1625" s="15">
        <v>106</v>
      </c>
    </row>
    <row r="1626" spans="2:8" x14ac:dyDescent="0.25">
      <c r="B1626" s="14">
        <v>44797</v>
      </c>
      <c r="C1626" t="s">
        <v>22</v>
      </c>
      <c r="D1626" t="s">
        <v>12</v>
      </c>
      <c r="E1626" t="s">
        <v>9</v>
      </c>
      <c r="F1626" t="s">
        <v>10</v>
      </c>
      <c r="G1626">
        <v>39</v>
      </c>
      <c r="H1626" s="15">
        <v>140</v>
      </c>
    </row>
    <row r="1627" spans="2:8" x14ac:dyDescent="0.25">
      <c r="B1627" s="14">
        <v>44798</v>
      </c>
      <c r="C1627" t="s">
        <v>22</v>
      </c>
      <c r="D1627" t="s">
        <v>12</v>
      </c>
      <c r="E1627" t="s">
        <v>9</v>
      </c>
      <c r="F1627" t="s">
        <v>16</v>
      </c>
      <c r="G1627">
        <v>30</v>
      </c>
      <c r="H1627" s="15">
        <v>116</v>
      </c>
    </row>
    <row r="1628" spans="2:8" x14ac:dyDescent="0.25">
      <c r="B1628" s="14">
        <v>44798</v>
      </c>
      <c r="C1628" t="s">
        <v>27</v>
      </c>
      <c r="D1628" t="s">
        <v>18</v>
      </c>
      <c r="E1628" t="s">
        <v>9</v>
      </c>
      <c r="F1628" t="s">
        <v>16</v>
      </c>
      <c r="G1628">
        <v>48</v>
      </c>
      <c r="H1628" s="15">
        <v>84</v>
      </c>
    </row>
    <row r="1629" spans="2:8" x14ac:dyDescent="0.25">
      <c r="B1629" s="14">
        <v>44798</v>
      </c>
      <c r="C1629" t="s">
        <v>22</v>
      </c>
      <c r="D1629" t="s">
        <v>12</v>
      </c>
      <c r="E1629" t="s">
        <v>9</v>
      </c>
      <c r="F1629" t="s">
        <v>10</v>
      </c>
      <c r="G1629">
        <v>39</v>
      </c>
      <c r="H1629" s="15">
        <v>120</v>
      </c>
    </row>
    <row r="1630" spans="2:8" x14ac:dyDescent="0.25">
      <c r="B1630" s="14">
        <v>44798</v>
      </c>
      <c r="C1630" t="s">
        <v>7</v>
      </c>
      <c r="D1630" t="s">
        <v>8</v>
      </c>
      <c r="E1630" t="s">
        <v>9</v>
      </c>
      <c r="F1630" t="s">
        <v>10</v>
      </c>
      <c r="G1630">
        <v>72</v>
      </c>
      <c r="H1630" s="15">
        <v>27</v>
      </c>
    </row>
    <row r="1631" spans="2:8" x14ac:dyDescent="0.25">
      <c r="B1631" s="14">
        <v>44798</v>
      </c>
      <c r="C1631" t="s">
        <v>15</v>
      </c>
      <c r="D1631" t="s">
        <v>8</v>
      </c>
      <c r="E1631" t="s">
        <v>13</v>
      </c>
      <c r="F1631" t="s">
        <v>16</v>
      </c>
      <c r="G1631">
        <v>19</v>
      </c>
      <c r="H1631" s="15">
        <v>54</v>
      </c>
    </row>
    <row r="1632" spans="2:8" x14ac:dyDescent="0.25">
      <c r="B1632" s="14">
        <v>44798</v>
      </c>
      <c r="C1632" t="s">
        <v>21</v>
      </c>
      <c r="D1632" t="s">
        <v>8</v>
      </c>
      <c r="E1632" t="s">
        <v>9</v>
      </c>
      <c r="F1632" t="s">
        <v>10</v>
      </c>
      <c r="G1632">
        <v>76</v>
      </c>
      <c r="H1632" s="15">
        <v>117</v>
      </c>
    </row>
    <row r="1633" spans="2:8" x14ac:dyDescent="0.25">
      <c r="B1633" s="14">
        <v>44798</v>
      </c>
      <c r="C1633" t="s">
        <v>7</v>
      </c>
      <c r="D1633" t="s">
        <v>8</v>
      </c>
      <c r="E1633" t="s">
        <v>9</v>
      </c>
      <c r="F1633" t="s">
        <v>10</v>
      </c>
      <c r="G1633">
        <v>90</v>
      </c>
      <c r="H1633" s="15">
        <v>20</v>
      </c>
    </row>
    <row r="1634" spans="2:8" x14ac:dyDescent="0.25">
      <c r="B1634" s="14">
        <v>44799</v>
      </c>
      <c r="C1634" t="s">
        <v>26</v>
      </c>
      <c r="D1634" t="s">
        <v>12</v>
      </c>
      <c r="E1634" t="s">
        <v>13</v>
      </c>
      <c r="F1634" t="s">
        <v>16</v>
      </c>
      <c r="G1634">
        <v>42</v>
      </c>
      <c r="H1634" s="15">
        <v>66</v>
      </c>
    </row>
    <row r="1635" spans="2:8" x14ac:dyDescent="0.25">
      <c r="B1635" s="14">
        <v>44799</v>
      </c>
      <c r="C1635" t="s">
        <v>21</v>
      </c>
      <c r="D1635" t="s">
        <v>8</v>
      </c>
      <c r="E1635" t="s">
        <v>13</v>
      </c>
      <c r="F1635" t="s">
        <v>16</v>
      </c>
      <c r="G1635">
        <v>94</v>
      </c>
      <c r="H1635" s="15">
        <v>69</v>
      </c>
    </row>
    <row r="1636" spans="2:8" x14ac:dyDescent="0.25">
      <c r="B1636" s="14">
        <v>44799</v>
      </c>
      <c r="C1636" t="s">
        <v>28</v>
      </c>
      <c r="D1636" t="s">
        <v>8</v>
      </c>
      <c r="E1636" t="s">
        <v>9</v>
      </c>
      <c r="F1636" t="s">
        <v>10</v>
      </c>
      <c r="G1636">
        <v>89</v>
      </c>
      <c r="H1636" s="15">
        <v>42</v>
      </c>
    </row>
    <row r="1637" spans="2:8" x14ac:dyDescent="0.25">
      <c r="B1637" s="14">
        <v>44799</v>
      </c>
      <c r="C1637" t="s">
        <v>28</v>
      </c>
      <c r="D1637" t="s">
        <v>8</v>
      </c>
      <c r="E1637" t="s">
        <v>9</v>
      </c>
      <c r="F1637" t="s">
        <v>16</v>
      </c>
      <c r="G1637">
        <v>93</v>
      </c>
      <c r="H1637" s="15">
        <v>150</v>
      </c>
    </row>
    <row r="1638" spans="2:8" x14ac:dyDescent="0.25">
      <c r="B1638" s="14">
        <v>44799</v>
      </c>
      <c r="C1638" t="s">
        <v>19</v>
      </c>
      <c r="D1638" t="s">
        <v>12</v>
      </c>
      <c r="E1638" t="s">
        <v>13</v>
      </c>
      <c r="F1638" t="s">
        <v>10</v>
      </c>
      <c r="G1638">
        <v>18</v>
      </c>
      <c r="H1638" s="15">
        <v>60</v>
      </c>
    </row>
    <row r="1639" spans="2:8" x14ac:dyDescent="0.25">
      <c r="B1639" s="14">
        <v>44799</v>
      </c>
      <c r="C1639" t="s">
        <v>23</v>
      </c>
      <c r="D1639" t="s">
        <v>18</v>
      </c>
      <c r="E1639" t="s">
        <v>9</v>
      </c>
      <c r="F1639" t="s">
        <v>10</v>
      </c>
      <c r="G1639">
        <v>83</v>
      </c>
      <c r="H1639" s="15">
        <v>138</v>
      </c>
    </row>
    <row r="1640" spans="2:8" x14ac:dyDescent="0.25">
      <c r="B1640" s="14">
        <v>44799</v>
      </c>
      <c r="C1640" t="s">
        <v>22</v>
      </c>
      <c r="D1640" t="s">
        <v>12</v>
      </c>
      <c r="E1640" t="s">
        <v>9</v>
      </c>
      <c r="F1640" t="s">
        <v>10</v>
      </c>
      <c r="G1640">
        <v>30</v>
      </c>
      <c r="H1640" s="15">
        <v>150</v>
      </c>
    </row>
    <row r="1641" spans="2:8" x14ac:dyDescent="0.25">
      <c r="B1641" s="14">
        <v>44800</v>
      </c>
      <c r="C1641" t="s">
        <v>29</v>
      </c>
      <c r="D1641" t="s">
        <v>18</v>
      </c>
      <c r="E1641" t="s">
        <v>13</v>
      </c>
      <c r="F1641" t="s">
        <v>16</v>
      </c>
      <c r="G1641">
        <v>80</v>
      </c>
      <c r="H1641" s="15">
        <v>110</v>
      </c>
    </row>
    <row r="1642" spans="2:8" x14ac:dyDescent="0.25">
      <c r="B1642" s="14">
        <v>44800</v>
      </c>
      <c r="C1642" t="s">
        <v>23</v>
      </c>
      <c r="D1642" t="s">
        <v>18</v>
      </c>
      <c r="E1642" t="s">
        <v>9</v>
      </c>
      <c r="F1642" t="s">
        <v>16</v>
      </c>
      <c r="G1642">
        <v>38</v>
      </c>
      <c r="H1642" s="15">
        <v>127</v>
      </c>
    </row>
    <row r="1643" spans="2:8" x14ac:dyDescent="0.25">
      <c r="B1643" s="14">
        <v>44800</v>
      </c>
      <c r="C1643" t="s">
        <v>26</v>
      </c>
      <c r="D1643" t="s">
        <v>12</v>
      </c>
      <c r="E1643" t="s">
        <v>13</v>
      </c>
      <c r="F1643" t="s">
        <v>10</v>
      </c>
      <c r="G1643">
        <v>68</v>
      </c>
      <c r="H1643" s="15">
        <v>139</v>
      </c>
    </row>
    <row r="1644" spans="2:8" x14ac:dyDescent="0.25">
      <c r="B1644" s="14">
        <v>44800</v>
      </c>
      <c r="C1644" t="s">
        <v>26</v>
      </c>
      <c r="D1644" t="s">
        <v>12</v>
      </c>
      <c r="E1644" t="s">
        <v>9</v>
      </c>
      <c r="F1644" t="s">
        <v>16</v>
      </c>
      <c r="G1644">
        <v>67</v>
      </c>
      <c r="H1644" s="15">
        <v>145</v>
      </c>
    </row>
    <row r="1645" spans="2:8" x14ac:dyDescent="0.25">
      <c r="B1645" s="14">
        <v>44800</v>
      </c>
      <c r="C1645" t="s">
        <v>21</v>
      </c>
      <c r="D1645" t="s">
        <v>8</v>
      </c>
      <c r="E1645" t="s">
        <v>13</v>
      </c>
      <c r="F1645" t="s">
        <v>14</v>
      </c>
      <c r="G1645">
        <v>99</v>
      </c>
      <c r="H1645" s="15">
        <v>29</v>
      </c>
    </row>
    <row r="1646" spans="2:8" x14ac:dyDescent="0.25">
      <c r="B1646" s="14">
        <v>44800</v>
      </c>
      <c r="C1646" t="s">
        <v>29</v>
      </c>
      <c r="D1646" t="s">
        <v>18</v>
      </c>
      <c r="E1646" t="s">
        <v>9</v>
      </c>
      <c r="F1646" t="s">
        <v>16</v>
      </c>
      <c r="G1646">
        <v>75</v>
      </c>
      <c r="H1646" s="15">
        <v>91</v>
      </c>
    </row>
    <row r="1647" spans="2:8" x14ac:dyDescent="0.25">
      <c r="B1647" s="14">
        <v>44800</v>
      </c>
      <c r="C1647" t="s">
        <v>26</v>
      </c>
      <c r="D1647" t="s">
        <v>12</v>
      </c>
      <c r="E1647" t="s">
        <v>13</v>
      </c>
      <c r="F1647" t="s">
        <v>16</v>
      </c>
      <c r="G1647">
        <v>78</v>
      </c>
      <c r="H1647" s="15">
        <v>99</v>
      </c>
    </row>
    <row r="1648" spans="2:8" x14ac:dyDescent="0.25">
      <c r="B1648" s="14">
        <v>44801</v>
      </c>
      <c r="C1648" t="s">
        <v>28</v>
      </c>
      <c r="D1648" t="s">
        <v>8</v>
      </c>
      <c r="E1648" t="s">
        <v>13</v>
      </c>
      <c r="F1648" t="s">
        <v>10</v>
      </c>
      <c r="G1648">
        <v>26</v>
      </c>
      <c r="H1648" s="15">
        <v>52</v>
      </c>
    </row>
    <row r="1649" spans="2:8" x14ac:dyDescent="0.25">
      <c r="B1649" s="14">
        <v>44801</v>
      </c>
      <c r="C1649" t="s">
        <v>25</v>
      </c>
      <c r="D1649" t="s">
        <v>12</v>
      </c>
      <c r="E1649" t="s">
        <v>9</v>
      </c>
      <c r="F1649" t="s">
        <v>14</v>
      </c>
      <c r="G1649">
        <v>64</v>
      </c>
      <c r="H1649" s="15">
        <v>79</v>
      </c>
    </row>
    <row r="1650" spans="2:8" x14ac:dyDescent="0.25">
      <c r="B1650" s="14">
        <v>44801</v>
      </c>
      <c r="C1650" t="s">
        <v>19</v>
      </c>
      <c r="D1650" t="s">
        <v>12</v>
      </c>
      <c r="E1650" t="s">
        <v>9</v>
      </c>
      <c r="F1650" t="s">
        <v>10</v>
      </c>
      <c r="G1650">
        <v>15</v>
      </c>
      <c r="H1650" s="15">
        <v>74</v>
      </c>
    </row>
    <row r="1651" spans="2:8" x14ac:dyDescent="0.25">
      <c r="B1651" s="14">
        <v>44801</v>
      </c>
      <c r="C1651" t="s">
        <v>28</v>
      </c>
      <c r="D1651" t="s">
        <v>8</v>
      </c>
      <c r="E1651" t="s">
        <v>13</v>
      </c>
      <c r="F1651" t="s">
        <v>16</v>
      </c>
      <c r="G1651">
        <v>17</v>
      </c>
      <c r="H1651" s="15">
        <v>36</v>
      </c>
    </row>
    <row r="1652" spans="2:8" x14ac:dyDescent="0.25">
      <c r="B1652" s="14">
        <v>44801</v>
      </c>
      <c r="C1652" t="s">
        <v>25</v>
      </c>
      <c r="D1652" t="s">
        <v>12</v>
      </c>
      <c r="E1652" t="s">
        <v>9</v>
      </c>
      <c r="F1652" t="s">
        <v>14</v>
      </c>
      <c r="G1652">
        <v>85</v>
      </c>
      <c r="H1652" s="15">
        <v>123</v>
      </c>
    </row>
    <row r="1653" spans="2:8" x14ac:dyDescent="0.25">
      <c r="B1653" s="14">
        <v>44801</v>
      </c>
      <c r="C1653" t="s">
        <v>21</v>
      </c>
      <c r="D1653" t="s">
        <v>8</v>
      </c>
      <c r="E1653" t="s">
        <v>9</v>
      </c>
      <c r="F1653" t="s">
        <v>14</v>
      </c>
      <c r="G1653">
        <v>47</v>
      </c>
      <c r="H1653" s="15">
        <v>126</v>
      </c>
    </row>
    <row r="1654" spans="2:8" x14ac:dyDescent="0.25">
      <c r="B1654" s="14">
        <v>44801</v>
      </c>
      <c r="C1654" t="s">
        <v>27</v>
      </c>
      <c r="D1654" t="s">
        <v>18</v>
      </c>
      <c r="E1654" t="s">
        <v>9</v>
      </c>
      <c r="F1654" t="s">
        <v>14</v>
      </c>
      <c r="G1654">
        <v>78</v>
      </c>
      <c r="H1654" s="15">
        <v>92</v>
      </c>
    </row>
    <row r="1655" spans="2:8" x14ac:dyDescent="0.25">
      <c r="B1655" s="14">
        <v>44801</v>
      </c>
      <c r="C1655" t="s">
        <v>22</v>
      </c>
      <c r="D1655" t="s">
        <v>12</v>
      </c>
      <c r="E1655" t="s">
        <v>9</v>
      </c>
      <c r="F1655" t="s">
        <v>10</v>
      </c>
      <c r="G1655">
        <v>43</v>
      </c>
      <c r="H1655" s="15">
        <v>23</v>
      </c>
    </row>
    <row r="1656" spans="2:8" x14ac:dyDescent="0.25">
      <c r="B1656" s="14">
        <v>44801</v>
      </c>
      <c r="C1656" t="s">
        <v>29</v>
      </c>
      <c r="D1656" t="s">
        <v>18</v>
      </c>
      <c r="E1656" t="s">
        <v>9</v>
      </c>
      <c r="F1656" t="s">
        <v>10</v>
      </c>
      <c r="G1656">
        <v>14</v>
      </c>
      <c r="H1656" s="15">
        <v>27</v>
      </c>
    </row>
    <row r="1657" spans="2:8" x14ac:dyDescent="0.25">
      <c r="B1657" s="14">
        <v>44801</v>
      </c>
      <c r="C1657" t="s">
        <v>20</v>
      </c>
      <c r="D1657" t="s">
        <v>8</v>
      </c>
      <c r="E1657" t="s">
        <v>9</v>
      </c>
      <c r="F1657" t="s">
        <v>14</v>
      </c>
      <c r="G1657">
        <v>99</v>
      </c>
      <c r="H1657" s="15">
        <v>65</v>
      </c>
    </row>
    <row r="1658" spans="2:8" x14ac:dyDescent="0.25">
      <c r="B1658" s="14">
        <v>44802</v>
      </c>
      <c r="C1658" t="s">
        <v>11</v>
      </c>
      <c r="D1658" t="s">
        <v>12</v>
      </c>
      <c r="E1658" t="s">
        <v>13</v>
      </c>
      <c r="F1658" t="s">
        <v>14</v>
      </c>
      <c r="G1658">
        <v>97</v>
      </c>
      <c r="H1658" s="15">
        <v>99</v>
      </c>
    </row>
    <row r="1659" spans="2:8" x14ac:dyDescent="0.25">
      <c r="B1659" s="14">
        <v>44802</v>
      </c>
      <c r="C1659" t="s">
        <v>15</v>
      </c>
      <c r="D1659" t="s">
        <v>8</v>
      </c>
      <c r="E1659" t="s">
        <v>13</v>
      </c>
      <c r="F1659" t="s">
        <v>14</v>
      </c>
      <c r="G1659">
        <v>38</v>
      </c>
      <c r="H1659" s="15">
        <v>77</v>
      </c>
    </row>
    <row r="1660" spans="2:8" x14ac:dyDescent="0.25">
      <c r="B1660" s="14">
        <v>44802</v>
      </c>
      <c r="C1660" t="s">
        <v>19</v>
      </c>
      <c r="D1660" t="s">
        <v>12</v>
      </c>
      <c r="E1660" t="s">
        <v>9</v>
      </c>
      <c r="F1660" t="s">
        <v>14</v>
      </c>
      <c r="G1660">
        <v>93</v>
      </c>
      <c r="H1660" s="15">
        <v>49</v>
      </c>
    </row>
    <row r="1661" spans="2:8" x14ac:dyDescent="0.25">
      <c r="B1661" s="14">
        <v>44802</v>
      </c>
      <c r="C1661" t="s">
        <v>27</v>
      </c>
      <c r="D1661" t="s">
        <v>18</v>
      </c>
      <c r="E1661" t="s">
        <v>9</v>
      </c>
      <c r="F1661" t="s">
        <v>16</v>
      </c>
      <c r="G1661">
        <v>99</v>
      </c>
      <c r="H1661" s="15">
        <v>91</v>
      </c>
    </row>
    <row r="1662" spans="2:8" x14ac:dyDescent="0.25">
      <c r="B1662" s="14">
        <v>44802</v>
      </c>
      <c r="C1662" t="s">
        <v>23</v>
      </c>
      <c r="D1662" t="s">
        <v>18</v>
      </c>
      <c r="E1662" t="s">
        <v>13</v>
      </c>
      <c r="F1662" t="s">
        <v>10</v>
      </c>
      <c r="G1662">
        <v>92</v>
      </c>
      <c r="H1662" s="15">
        <v>27</v>
      </c>
    </row>
    <row r="1663" spans="2:8" x14ac:dyDescent="0.25">
      <c r="B1663" s="14">
        <v>44802</v>
      </c>
      <c r="C1663" t="s">
        <v>27</v>
      </c>
      <c r="D1663" t="s">
        <v>18</v>
      </c>
      <c r="E1663" t="s">
        <v>13</v>
      </c>
      <c r="F1663" t="s">
        <v>10</v>
      </c>
      <c r="G1663">
        <v>57</v>
      </c>
      <c r="H1663" s="15">
        <v>107</v>
      </c>
    </row>
    <row r="1664" spans="2:8" x14ac:dyDescent="0.25">
      <c r="B1664" s="14">
        <v>44802</v>
      </c>
      <c r="C1664" t="s">
        <v>11</v>
      </c>
      <c r="D1664" t="s">
        <v>12</v>
      </c>
      <c r="E1664" t="s">
        <v>13</v>
      </c>
      <c r="F1664" t="s">
        <v>14</v>
      </c>
      <c r="G1664">
        <v>60</v>
      </c>
      <c r="H1664" s="15">
        <v>20</v>
      </c>
    </row>
    <row r="1665" spans="2:8" x14ac:dyDescent="0.25">
      <c r="B1665" s="14">
        <v>44803</v>
      </c>
      <c r="C1665" t="s">
        <v>11</v>
      </c>
      <c r="D1665" t="s">
        <v>12</v>
      </c>
      <c r="E1665" t="s">
        <v>13</v>
      </c>
      <c r="F1665" t="s">
        <v>14</v>
      </c>
      <c r="G1665">
        <v>29</v>
      </c>
      <c r="H1665" s="15">
        <v>117</v>
      </c>
    </row>
    <row r="1666" spans="2:8" x14ac:dyDescent="0.25">
      <c r="B1666" s="14">
        <v>44803</v>
      </c>
      <c r="C1666" t="s">
        <v>26</v>
      </c>
      <c r="D1666" t="s">
        <v>12</v>
      </c>
      <c r="E1666" t="s">
        <v>9</v>
      </c>
      <c r="F1666" t="s">
        <v>10</v>
      </c>
      <c r="G1666">
        <v>39</v>
      </c>
      <c r="H1666" s="15">
        <v>108</v>
      </c>
    </row>
    <row r="1667" spans="2:8" x14ac:dyDescent="0.25">
      <c r="B1667" s="14">
        <v>44803</v>
      </c>
      <c r="C1667" t="s">
        <v>22</v>
      </c>
      <c r="D1667" t="s">
        <v>12</v>
      </c>
      <c r="E1667" t="s">
        <v>13</v>
      </c>
      <c r="F1667" t="s">
        <v>14</v>
      </c>
      <c r="G1667">
        <v>92</v>
      </c>
      <c r="H1667" s="15">
        <v>132</v>
      </c>
    </row>
    <row r="1668" spans="2:8" x14ac:dyDescent="0.25">
      <c r="B1668" s="14">
        <v>44803</v>
      </c>
      <c r="C1668" t="s">
        <v>29</v>
      </c>
      <c r="D1668" t="s">
        <v>18</v>
      </c>
      <c r="E1668" t="s">
        <v>9</v>
      </c>
      <c r="F1668" t="s">
        <v>14</v>
      </c>
      <c r="G1668">
        <v>81</v>
      </c>
      <c r="H1668" s="15">
        <v>148</v>
      </c>
    </row>
    <row r="1669" spans="2:8" x14ac:dyDescent="0.25">
      <c r="B1669" s="14">
        <v>44803</v>
      </c>
      <c r="C1669" t="s">
        <v>25</v>
      </c>
      <c r="D1669" t="s">
        <v>12</v>
      </c>
      <c r="E1669" t="s">
        <v>13</v>
      </c>
      <c r="F1669" t="s">
        <v>16</v>
      </c>
      <c r="G1669">
        <v>89</v>
      </c>
      <c r="H1669" s="15">
        <v>121</v>
      </c>
    </row>
    <row r="1670" spans="2:8" x14ac:dyDescent="0.25">
      <c r="B1670" s="14">
        <v>44803</v>
      </c>
      <c r="C1670" t="s">
        <v>19</v>
      </c>
      <c r="D1670" t="s">
        <v>12</v>
      </c>
      <c r="E1670" t="s">
        <v>13</v>
      </c>
      <c r="F1670" t="s">
        <v>16</v>
      </c>
      <c r="G1670">
        <v>87</v>
      </c>
      <c r="H1670" s="15">
        <v>84</v>
      </c>
    </row>
    <row r="1671" spans="2:8" x14ac:dyDescent="0.25">
      <c r="B1671" s="14">
        <v>44804</v>
      </c>
      <c r="C1671" t="s">
        <v>17</v>
      </c>
      <c r="D1671" t="s">
        <v>18</v>
      </c>
      <c r="E1671" t="s">
        <v>9</v>
      </c>
      <c r="F1671" t="s">
        <v>10</v>
      </c>
      <c r="G1671">
        <v>13</v>
      </c>
      <c r="H1671" s="15">
        <v>101</v>
      </c>
    </row>
    <row r="1672" spans="2:8" x14ac:dyDescent="0.25">
      <c r="B1672" s="14">
        <v>44804</v>
      </c>
      <c r="C1672" t="s">
        <v>26</v>
      </c>
      <c r="D1672" t="s">
        <v>12</v>
      </c>
      <c r="E1672" t="s">
        <v>13</v>
      </c>
      <c r="F1672" t="s">
        <v>10</v>
      </c>
      <c r="G1672">
        <v>46</v>
      </c>
      <c r="H1672" s="15">
        <v>134</v>
      </c>
    </row>
    <row r="1673" spans="2:8" x14ac:dyDescent="0.25">
      <c r="B1673" s="14">
        <v>44804</v>
      </c>
      <c r="C1673" t="s">
        <v>24</v>
      </c>
      <c r="D1673" t="s">
        <v>18</v>
      </c>
      <c r="E1673" t="s">
        <v>13</v>
      </c>
      <c r="F1673" t="s">
        <v>14</v>
      </c>
      <c r="G1673">
        <v>13</v>
      </c>
      <c r="H1673" s="15">
        <v>112</v>
      </c>
    </row>
    <row r="1674" spans="2:8" x14ac:dyDescent="0.25">
      <c r="B1674" s="14">
        <v>44804</v>
      </c>
      <c r="C1674" t="s">
        <v>28</v>
      </c>
      <c r="D1674" t="s">
        <v>8</v>
      </c>
      <c r="E1674" t="s">
        <v>13</v>
      </c>
      <c r="F1674" t="s">
        <v>10</v>
      </c>
      <c r="G1674">
        <v>79</v>
      </c>
      <c r="H1674" s="15">
        <v>140</v>
      </c>
    </row>
    <row r="1675" spans="2:8" x14ac:dyDescent="0.25">
      <c r="B1675" s="14">
        <v>44804</v>
      </c>
      <c r="C1675" t="s">
        <v>24</v>
      </c>
      <c r="D1675" t="s">
        <v>18</v>
      </c>
      <c r="E1675" t="s">
        <v>9</v>
      </c>
      <c r="F1675" t="s">
        <v>16</v>
      </c>
      <c r="G1675">
        <v>59</v>
      </c>
      <c r="H1675" s="15">
        <v>49</v>
      </c>
    </row>
    <row r="1676" spans="2:8" x14ac:dyDescent="0.25">
      <c r="B1676" s="16">
        <v>44804</v>
      </c>
      <c r="C1676" s="17" t="s">
        <v>17</v>
      </c>
      <c r="D1676" s="17" t="s">
        <v>18</v>
      </c>
      <c r="E1676" s="17" t="s">
        <v>9</v>
      </c>
      <c r="F1676" s="17" t="s">
        <v>16</v>
      </c>
      <c r="G1676" s="17">
        <v>16</v>
      </c>
      <c r="H1676" s="18">
        <v>86</v>
      </c>
    </row>
    <row r="1677" spans="2:8" x14ac:dyDescent="0.25">
      <c r="B1677" s="3">
        <v>44805</v>
      </c>
      <c r="C1677" s="2" t="s">
        <v>26</v>
      </c>
      <c r="D1677" s="2" t="s">
        <v>12</v>
      </c>
      <c r="E1677" s="2" t="s">
        <v>9</v>
      </c>
      <c r="F1677" s="2" t="s">
        <v>16</v>
      </c>
      <c r="G1677" s="2">
        <v>33</v>
      </c>
      <c r="H1677" s="9">
        <v>69</v>
      </c>
    </row>
    <row r="1678" spans="2:8" x14ac:dyDescent="0.25">
      <c r="B1678" s="3">
        <v>44805</v>
      </c>
      <c r="C1678" s="2" t="s">
        <v>27</v>
      </c>
      <c r="D1678" s="2" t="s">
        <v>18</v>
      </c>
      <c r="E1678" s="2" t="s">
        <v>9</v>
      </c>
      <c r="F1678" s="2" t="s">
        <v>16</v>
      </c>
      <c r="G1678" s="2">
        <v>28</v>
      </c>
      <c r="H1678" s="9">
        <v>60</v>
      </c>
    </row>
    <row r="1679" spans="2:8" x14ac:dyDescent="0.25">
      <c r="B1679" s="3">
        <v>44805</v>
      </c>
      <c r="C1679" s="2" t="s">
        <v>23</v>
      </c>
      <c r="D1679" s="2" t="s">
        <v>18</v>
      </c>
      <c r="E1679" s="2" t="s">
        <v>9</v>
      </c>
      <c r="F1679" s="2" t="s">
        <v>14</v>
      </c>
      <c r="G1679" s="2">
        <v>14</v>
      </c>
      <c r="H1679" s="9">
        <v>133</v>
      </c>
    </row>
    <row r="1680" spans="2:8" x14ac:dyDescent="0.25">
      <c r="B1680" s="3">
        <v>44805</v>
      </c>
      <c r="C1680" s="2" t="s">
        <v>21</v>
      </c>
      <c r="D1680" s="2" t="s">
        <v>8</v>
      </c>
      <c r="E1680" s="2" t="s">
        <v>9</v>
      </c>
      <c r="F1680" s="2" t="s">
        <v>14</v>
      </c>
      <c r="G1680" s="2">
        <v>60</v>
      </c>
      <c r="H1680" s="9">
        <v>100</v>
      </c>
    </row>
    <row r="1681" spans="2:8" x14ac:dyDescent="0.25">
      <c r="B1681" s="3">
        <v>44805</v>
      </c>
      <c r="C1681" s="2" t="s">
        <v>20</v>
      </c>
      <c r="D1681" s="2" t="s">
        <v>8</v>
      </c>
      <c r="E1681" s="2" t="s">
        <v>13</v>
      </c>
      <c r="F1681" s="2" t="s">
        <v>14</v>
      </c>
      <c r="G1681" s="2">
        <v>76</v>
      </c>
      <c r="H1681" s="9">
        <v>110</v>
      </c>
    </row>
    <row r="1682" spans="2:8" x14ac:dyDescent="0.25">
      <c r="B1682" s="3">
        <v>44806</v>
      </c>
      <c r="C1682" s="2" t="s">
        <v>15</v>
      </c>
      <c r="D1682" s="2" t="s">
        <v>8</v>
      </c>
      <c r="E1682" s="2" t="s">
        <v>9</v>
      </c>
      <c r="F1682" s="2" t="s">
        <v>10</v>
      </c>
      <c r="G1682" s="2">
        <v>71</v>
      </c>
      <c r="H1682" s="9">
        <v>93</v>
      </c>
    </row>
    <row r="1683" spans="2:8" x14ac:dyDescent="0.25">
      <c r="B1683" s="3">
        <v>44806</v>
      </c>
      <c r="C1683" s="2" t="s">
        <v>17</v>
      </c>
      <c r="D1683" s="2" t="s">
        <v>18</v>
      </c>
      <c r="E1683" s="2" t="s">
        <v>13</v>
      </c>
      <c r="F1683" s="2" t="s">
        <v>16</v>
      </c>
      <c r="G1683" s="2">
        <v>43</v>
      </c>
      <c r="H1683" s="9">
        <v>52</v>
      </c>
    </row>
    <row r="1684" spans="2:8" x14ac:dyDescent="0.25">
      <c r="B1684" s="3">
        <v>44806</v>
      </c>
      <c r="C1684" s="2" t="s">
        <v>20</v>
      </c>
      <c r="D1684" s="2" t="s">
        <v>8</v>
      </c>
      <c r="E1684" s="2" t="s">
        <v>9</v>
      </c>
      <c r="F1684" s="2" t="s">
        <v>16</v>
      </c>
      <c r="G1684" s="2">
        <v>28</v>
      </c>
      <c r="H1684" s="9">
        <v>55</v>
      </c>
    </row>
    <row r="1685" spans="2:8" x14ac:dyDescent="0.25">
      <c r="B1685" s="3">
        <v>44806</v>
      </c>
      <c r="C1685" s="2" t="s">
        <v>11</v>
      </c>
      <c r="D1685" s="2" t="s">
        <v>12</v>
      </c>
      <c r="E1685" s="2" t="s">
        <v>9</v>
      </c>
      <c r="F1685" s="2" t="s">
        <v>14</v>
      </c>
      <c r="G1685" s="2">
        <v>39</v>
      </c>
      <c r="H1685" s="9">
        <v>126</v>
      </c>
    </row>
    <row r="1686" spans="2:8" x14ac:dyDescent="0.25">
      <c r="B1686" s="3">
        <v>44806</v>
      </c>
      <c r="C1686" s="2" t="s">
        <v>19</v>
      </c>
      <c r="D1686" s="2" t="s">
        <v>12</v>
      </c>
      <c r="E1686" s="2" t="s">
        <v>9</v>
      </c>
      <c r="F1686" s="2" t="s">
        <v>16</v>
      </c>
      <c r="G1686" s="2">
        <v>88</v>
      </c>
      <c r="H1686" s="9">
        <v>76</v>
      </c>
    </row>
    <row r="1687" spans="2:8" x14ac:dyDescent="0.25">
      <c r="B1687" s="3">
        <v>44806</v>
      </c>
      <c r="C1687" s="2" t="s">
        <v>20</v>
      </c>
      <c r="D1687" s="2" t="s">
        <v>8</v>
      </c>
      <c r="E1687" s="2" t="s">
        <v>9</v>
      </c>
      <c r="F1687" s="2" t="s">
        <v>10</v>
      </c>
      <c r="G1687" s="2">
        <v>59</v>
      </c>
      <c r="H1687" s="9">
        <v>150</v>
      </c>
    </row>
    <row r="1688" spans="2:8" x14ac:dyDescent="0.25">
      <c r="B1688" s="3">
        <v>44806</v>
      </c>
      <c r="C1688" s="2" t="s">
        <v>19</v>
      </c>
      <c r="D1688" s="2" t="s">
        <v>12</v>
      </c>
      <c r="E1688" s="2" t="s">
        <v>13</v>
      </c>
      <c r="F1688" s="2" t="s">
        <v>14</v>
      </c>
      <c r="G1688" s="2">
        <v>22</v>
      </c>
      <c r="H1688" s="9">
        <v>122</v>
      </c>
    </row>
    <row r="1689" spans="2:8" x14ac:dyDescent="0.25">
      <c r="B1689" s="3">
        <v>44806</v>
      </c>
      <c r="C1689" s="2" t="s">
        <v>26</v>
      </c>
      <c r="D1689" s="2" t="s">
        <v>12</v>
      </c>
      <c r="E1689" s="2" t="s">
        <v>13</v>
      </c>
      <c r="F1689" s="2" t="s">
        <v>16</v>
      </c>
      <c r="G1689" s="2">
        <v>32</v>
      </c>
      <c r="H1689" s="9">
        <v>86</v>
      </c>
    </row>
    <row r="1690" spans="2:8" x14ac:dyDescent="0.25">
      <c r="B1690" s="3">
        <v>44806</v>
      </c>
      <c r="C1690" s="2" t="s">
        <v>20</v>
      </c>
      <c r="D1690" s="2" t="s">
        <v>8</v>
      </c>
      <c r="E1690" s="2" t="s">
        <v>13</v>
      </c>
      <c r="F1690" s="2" t="s">
        <v>16</v>
      </c>
      <c r="G1690" s="2">
        <v>69</v>
      </c>
      <c r="H1690" s="9">
        <v>29</v>
      </c>
    </row>
    <row r="1691" spans="2:8" x14ac:dyDescent="0.25">
      <c r="B1691" s="3">
        <v>44807</v>
      </c>
      <c r="C1691" s="2" t="s">
        <v>26</v>
      </c>
      <c r="D1691" s="2" t="s">
        <v>12</v>
      </c>
      <c r="E1691" s="2" t="s">
        <v>13</v>
      </c>
      <c r="F1691" s="2" t="s">
        <v>16</v>
      </c>
      <c r="G1691" s="2">
        <v>45</v>
      </c>
      <c r="H1691" s="9">
        <v>76</v>
      </c>
    </row>
    <row r="1692" spans="2:8" x14ac:dyDescent="0.25">
      <c r="B1692" s="3">
        <v>44807</v>
      </c>
      <c r="C1692" s="2" t="s">
        <v>27</v>
      </c>
      <c r="D1692" s="2" t="s">
        <v>18</v>
      </c>
      <c r="E1692" s="2" t="s">
        <v>13</v>
      </c>
      <c r="F1692" s="2" t="s">
        <v>16</v>
      </c>
      <c r="G1692" s="2">
        <v>87</v>
      </c>
      <c r="H1692" s="9">
        <v>77</v>
      </c>
    </row>
    <row r="1693" spans="2:8" x14ac:dyDescent="0.25">
      <c r="B1693" s="3">
        <v>44807</v>
      </c>
      <c r="C1693" s="2" t="s">
        <v>27</v>
      </c>
      <c r="D1693" s="2" t="s">
        <v>18</v>
      </c>
      <c r="E1693" s="2" t="s">
        <v>9</v>
      </c>
      <c r="F1693" s="2" t="s">
        <v>16</v>
      </c>
      <c r="G1693" s="2">
        <v>33</v>
      </c>
      <c r="H1693" s="9">
        <v>37</v>
      </c>
    </row>
    <row r="1694" spans="2:8" x14ac:dyDescent="0.25">
      <c r="B1694" s="3">
        <v>44807</v>
      </c>
      <c r="C1694" s="2" t="s">
        <v>22</v>
      </c>
      <c r="D1694" s="2" t="s">
        <v>12</v>
      </c>
      <c r="E1694" s="2" t="s">
        <v>9</v>
      </c>
      <c r="F1694" s="2" t="s">
        <v>10</v>
      </c>
      <c r="G1694" s="2">
        <v>13</v>
      </c>
      <c r="H1694" s="9">
        <v>31</v>
      </c>
    </row>
    <row r="1695" spans="2:8" x14ac:dyDescent="0.25">
      <c r="B1695" s="3">
        <v>44807</v>
      </c>
      <c r="C1695" s="2" t="s">
        <v>21</v>
      </c>
      <c r="D1695" s="2" t="s">
        <v>8</v>
      </c>
      <c r="E1695" s="2" t="s">
        <v>9</v>
      </c>
      <c r="F1695" s="2" t="s">
        <v>16</v>
      </c>
      <c r="G1695" s="2">
        <v>36</v>
      </c>
      <c r="H1695" s="9">
        <v>142</v>
      </c>
    </row>
    <row r="1696" spans="2:8" x14ac:dyDescent="0.25">
      <c r="B1696" s="3">
        <v>44807</v>
      </c>
      <c r="C1696" s="2" t="s">
        <v>26</v>
      </c>
      <c r="D1696" s="2" t="s">
        <v>12</v>
      </c>
      <c r="E1696" s="2" t="s">
        <v>13</v>
      </c>
      <c r="F1696" s="2" t="s">
        <v>10</v>
      </c>
      <c r="G1696" s="2">
        <v>20</v>
      </c>
      <c r="H1696" s="9">
        <v>25</v>
      </c>
    </row>
    <row r="1697" spans="2:8" x14ac:dyDescent="0.25">
      <c r="B1697" s="3">
        <v>44808</v>
      </c>
      <c r="C1697" s="2" t="s">
        <v>23</v>
      </c>
      <c r="D1697" s="2" t="s">
        <v>18</v>
      </c>
      <c r="E1697" s="2" t="s">
        <v>13</v>
      </c>
      <c r="F1697" s="2" t="s">
        <v>10</v>
      </c>
      <c r="G1697" s="2">
        <v>38</v>
      </c>
      <c r="H1697" s="9">
        <v>96</v>
      </c>
    </row>
    <row r="1698" spans="2:8" x14ac:dyDescent="0.25">
      <c r="B1698" s="3">
        <v>44808</v>
      </c>
      <c r="C1698" s="2" t="s">
        <v>22</v>
      </c>
      <c r="D1698" s="2" t="s">
        <v>12</v>
      </c>
      <c r="E1698" s="2" t="s">
        <v>9</v>
      </c>
      <c r="F1698" s="2" t="s">
        <v>16</v>
      </c>
      <c r="G1698" s="2">
        <v>21</v>
      </c>
      <c r="H1698" s="9">
        <v>74</v>
      </c>
    </row>
    <row r="1699" spans="2:8" x14ac:dyDescent="0.25">
      <c r="B1699" s="3">
        <v>44808</v>
      </c>
      <c r="C1699" s="2" t="s">
        <v>20</v>
      </c>
      <c r="D1699" s="2" t="s">
        <v>8</v>
      </c>
      <c r="E1699" s="2" t="s">
        <v>13</v>
      </c>
      <c r="F1699" s="2" t="s">
        <v>16</v>
      </c>
      <c r="G1699" s="2">
        <v>70</v>
      </c>
      <c r="H1699" s="9">
        <v>78</v>
      </c>
    </row>
    <row r="1700" spans="2:8" x14ac:dyDescent="0.25">
      <c r="B1700" s="3">
        <v>44808</v>
      </c>
      <c r="C1700" s="2" t="s">
        <v>11</v>
      </c>
      <c r="D1700" s="2" t="s">
        <v>12</v>
      </c>
      <c r="E1700" s="2" t="s">
        <v>13</v>
      </c>
      <c r="F1700" s="2" t="s">
        <v>10</v>
      </c>
      <c r="G1700" s="2">
        <v>36</v>
      </c>
      <c r="H1700" s="9">
        <v>138</v>
      </c>
    </row>
    <row r="1701" spans="2:8" x14ac:dyDescent="0.25">
      <c r="B1701" s="3">
        <v>44808</v>
      </c>
      <c r="C1701" s="2" t="s">
        <v>19</v>
      </c>
      <c r="D1701" s="2" t="s">
        <v>12</v>
      </c>
      <c r="E1701" s="2" t="s">
        <v>9</v>
      </c>
      <c r="F1701" s="2" t="s">
        <v>14</v>
      </c>
      <c r="G1701" s="2">
        <v>45</v>
      </c>
      <c r="H1701" s="9">
        <v>139</v>
      </c>
    </row>
    <row r="1702" spans="2:8" x14ac:dyDescent="0.25">
      <c r="B1702" s="3">
        <v>44808</v>
      </c>
      <c r="C1702" s="2" t="s">
        <v>24</v>
      </c>
      <c r="D1702" s="2" t="s">
        <v>18</v>
      </c>
      <c r="E1702" s="2" t="s">
        <v>13</v>
      </c>
      <c r="F1702" s="2" t="s">
        <v>10</v>
      </c>
      <c r="G1702" s="2">
        <v>82</v>
      </c>
      <c r="H1702" s="9">
        <v>71</v>
      </c>
    </row>
    <row r="1703" spans="2:8" x14ac:dyDescent="0.25">
      <c r="B1703" s="3">
        <v>44808</v>
      </c>
      <c r="C1703" s="2" t="s">
        <v>22</v>
      </c>
      <c r="D1703" s="2" t="s">
        <v>12</v>
      </c>
      <c r="E1703" s="2" t="s">
        <v>9</v>
      </c>
      <c r="F1703" s="2" t="s">
        <v>10</v>
      </c>
      <c r="G1703" s="2">
        <v>12</v>
      </c>
      <c r="H1703" s="9">
        <v>146</v>
      </c>
    </row>
    <row r="1704" spans="2:8" x14ac:dyDescent="0.25">
      <c r="B1704" s="3">
        <v>44808</v>
      </c>
      <c r="C1704" s="2" t="s">
        <v>24</v>
      </c>
      <c r="D1704" s="2" t="s">
        <v>18</v>
      </c>
      <c r="E1704" s="2" t="s">
        <v>9</v>
      </c>
      <c r="F1704" s="2" t="s">
        <v>16</v>
      </c>
      <c r="G1704" s="2">
        <v>56</v>
      </c>
      <c r="H1704" s="9">
        <v>68</v>
      </c>
    </row>
    <row r="1705" spans="2:8" x14ac:dyDescent="0.25">
      <c r="B1705" s="3">
        <v>44808</v>
      </c>
      <c r="C1705" s="2" t="s">
        <v>25</v>
      </c>
      <c r="D1705" s="2" t="s">
        <v>12</v>
      </c>
      <c r="E1705" s="2" t="s">
        <v>9</v>
      </c>
      <c r="F1705" s="2" t="s">
        <v>16</v>
      </c>
      <c r="G1705" s="2">
        <v>79</v>
      </c>
      <c r="H1705" s="9">
        <v>112</v>
      </c>
    </row>
    <row r="1706" spans="2:8" x14ac:dyDescent="0.25">
      <c r="B1706" s="3">
        <v>44809</v>
      </c>
      <c r="C1706" s="2" t="s">
        <v>11</v>
      </c>
      <c r="D1706" s="2" t="s">
        <v>12</v>
      </c>
      <c r="E1706" s="2" t="s">
        <v>9</v>
      </c>
      <c r="F1706" s="2" t="s">
        <v>16</v>
      </c>
      <c r="G1706" s="2">
        <v>10</v>
      </c>
      <c r="H1706" s="9">
        <v>37</v>
      </c>
    </row>
    <row r="1707" spans="2:8" x14ac:dyDescent="0.25">
      <c r="B1707" s="3">
        <v>44809</v>
      </c>
      <c r="C1707" s="2" t="s">
        <v>11</v>
      </c>
      <c r="D1707" s="2" t="s">
        <v>12</v>
      </c>
      <c r="E1707" s="2" t="s">
        <v>13</v>
      </c>
      <c r="F1707" s="2" t="s">
        <v>10</v>
      </c>
      <c r="G1707" s="2">
        <v>24</v>
      </c>
      <c r="H1707" s="9">
        <v>71</v>
      </c>
    </row>
    <row r="1708" spans="2:8" x14ac:dyDescent="0.25">
      <c r="B1708" s="3">
        <v>44809</v>
      </c>
      <c r="C1708" s="2" t="s">
        <v>15</v>
      </c>
      <c r="D1708" s="2" t="s">
        <v>8</v>
      </c>
      <c r="E1708" s="2" t="s">
        <v>13</v>
      </c>
      <c r="F1708" s="2" t="s">
        <v>16</v>
      </c>
      <c r="G1708" s="2">
        <v>29</v>
      </c>
      <c r="H1708" s="9">
        <v>47</v>
      </c>
    </row>
    <row r="1709" spans="2:8" x14ac:dyDescent="0.25">
      <c r="B1709" s="3">
        <v>44809</v>
      </c>
      <c r="C1709" s="2" t="s">
        <v>29</v>
      </c>
      <c r="D1709" s="2" t="s">
        <v>18</v>
      </c>
      <c r="E1709" s="2" t="s">
        <v>13</v>
      </c>
      <c r="F1709" s="2" t="s">
        <v>16</v>
      </c>
      <c r="G1709" s="2">
        <v>89</v>
      </c>
      <c r="H1709" s="9">
        <v>39</v>
      </c>
    </row>
    <row r="1710" spans="2:8" x14ac:dyDescent="0.25">
      <c r="B1710" s="3">
        <v>44809</v>
      </c>
      <c r="C1710" s="2" t="s">
        <v>28</v>
      </c>
      <c r="D1710" s="2" t="s">
        <v>8</v>
      </c>
      <c r="E1710" s="2" t="s">
        <v>9</v>
      </c>
      <c r="F1710" s="2" t="s">
        <v>14</v>
      </c>
      <c r="G1710" s="2">
        <v>12</v>
      </c>
      <c r="H1710" s="9">
        <v>120</v>
      </c>
    </row>
    <row r="1711" spans="2:8" x14ac:dyDescent="0.25">
      <c r="B1711" s="3">
        <v>44810</v>
      </c>
      <c r="C1711" s="2" t="s">
        <v>23</v>
      </c>
      <c r="D1711" s="2" t="s">
        <v>18</v>
      </c>
      <c r="E1711" s="2" t="s">
        <v>9</v>
      </c>
      <c r="F1711" s="2" t="s">
        <v>16</v>
      </c>
      <c r="G1711" s="2">
        <v>41</v>
      </c>
      <c r="H1711" s="9">
        <v>118</v>
      </c>
    </row>
    <row r="1712" spans="2:8" x14ac:dyDescent="0.25">
      <c r="B1712" s="3">
        <v>44810</v>
      </c>
      <c r="C1712" s="2" t="s">
        <v>23</v>
      </c>
      <c r="D1712" s="2" t="s">
        <v>18</v>
      </c>
      <c r="E1712" s="2" t="s">
        <v>9</v>
      </c>
      <c r="F1712" s="2" t="s">
        <v>10</v>
      </c>
      <c r="G1712" s="2">
        <v>43</v>
      </c>
      <c r="H1712" s="9">
        <v>105</v>
      </c>
    </row>
    <row r="1713" spans="2:8" x14ac:dyDescent="0.25">
      <c r="B1713" s="3">
        <v>44810</v>
      </c>
      <c r="C1713" s="2" t="s">
        <v>15</v>
      </c>
      <c r="D1713" s="2" t="s">
        <v>8</v>
      </c>
      <c r="E1713" s="2" t="s">
        <v>13</v>
      </c>
      <c r="F1713" s="2" t="s">
        <v>16</v>
      </c>
      <c r="G1713" s="2">
        <v>61</v>
      </c>
      <c r="H1713" s="9">
        <v>114</v>
      </c>
    </row>
    <row r="1714" spans="2:8" x14ac:dyDescent="0.25">
      <c r="B1714" s="3">
        <v>44810</v>
      </c>
      <c r="C1714" s="2" t="s">
        <v>7</v>
      </c>
      <c r="D1714" s="2" t="s">
        <v>8</v>
      </c>
      <c r="E1714" s="2" t="s">
        <v>9</v>
      </c>
      <c r="F1714" s="2" t="s">
        <v>14</v>
      </c>
      <c r="G1714" s="2">
        <v>83</v>
      </c>
      <c r="H1714" s="9">
        <v>57</v>
      </c>
    </row>
    <row r="1715" spans="2:8" x14ac:dyDescent="0.25">
      <c r="B1715" s="3">
        <v>44810</v>
      </c>
      <c r="C1715" s="2" t="s">
        <v>7</v>
      </c>
      <c r="D1715" s="2" t="s">
        <v>8</v>
      </c>
      <c r="E1715" s="2" t="s">
        <v>13</v>
      </c>
      <c r="F1715" s="2" t="s">
        <v>14</v>
      </c>
      <c r="G1715" s="2">
        <v>78</v>
      </c>
      <c r="H1715" s="9">
        <v>112</v>
      </c>
    </row>
    <row r="1716" spans="2:8" x14ac:dyDescent="0.25">
      <c r="B1716" s="3">
        <v>44810</v>
      </c>
      <c r="C1716" s="2" t="s">
        <v>29</v>
      </c>
      <c r="D1716" s="2" t="s">
        <v>18</v>
      </c>
      <c r="E1716" s="2" t="s">
        <v>13</v>
      </c>
      <c r="F1716" s="2" t="s">
        <v>14</v>
      </c>
      <c r="G1716" s="2">
        <v>40</v>
      </c>
      <c r="H1716" s="9">
        <v>100</v>
      </c>
    </row>
    <row r="1717" spans="2:8" x14ac:dyDescent="0.25">
      <c r="B1717" s="3">
        <v>44810</v>
      </c>
      <c r="C1717" s="2" t="s">
        <v>23</v>
      </c>
      <c r="D1717" s="2" t="s">
        <v>18</v>
      </c>
      <c r="E1717" s="2" t="s">
        <v>9</v>
      </c>
      <c r="F1717" s="2" t="s">
        <v>16</v>
      </c>
      <c r="G1717" s="2">
        <v>45</v>
      </c>
      <c r="H1717" s="9">
        <v>63</v>
      </c>
    </row>
    <row r="1718" spans="2:8" x14ac:dyDescent="0.25">
      <c r="B1718" s="3">
        <v>44810</v>
      </c>
      <c r="C1718" s="2" t="s">
        <v>20</v>
      </c>
      <c r="D1718" s="2" t="s">
        <v>8</v>
      </c>
      <c r="E1718" s="2" t="s">
        <v>9</v>
      </c>
      <c r="F1718" s="2" t="s">
        <v>16</v>
      </c>
      <c r="G1718" s="2">
        <v>65</v>
      </c>
      <c r="H1718" s="9">
        <v>88</v>
      </c>
    </row>
    <row r="1719" spans="2:8" x14ac:dyDescent="0.25">
      <c r="B1719" s="3">
        <v>44810</v>
      </c>
      <c r="C1719" s="2" t="s">
        <v>25</v>
      </c>
      <c r="D1719" s="2" t="s">
        <v>12</v>
      </c>
      <c r="E1719" s="2" t="s">
        <v>9</v>
      </c>
      <c r="F1719" s="2" t="s">
        <v>10</v>
      </c>
      <c r="G1719" s="2">
        <v>95</v>
      </c>
      <c r="H1719" s="9">
        <v>72</v>
      </c>
    </row>
    <row r="1720" spans="2:8" x14ac:dyDescent="0.25">
      <c r="B1720" s="3">
        <v>44810</v>
      </c>
      <c r="C1720" s="2" t="s">
        <v>28</v>
      </c>
      <c r="D1720" s="2" t="s">
        <v>8</v>
      </c>
      <c r="E1720" s="2" t="s">
        <v>9</v>
      </c>
      <c r="F1720" s="2" t="s">
        <v>10</v>
      </c>
      <c r="G1720" s="2">
        <v>29</v>
      </c>
      <c r="H1720" s="9">
        <v>32</v>
      </c>
    </row>
    <row r="1721" spans="2:8" x14ac:dyDescent="0.25">
      <c r="B1721" s="3">
        <v>44811</v>
      </c>
      <c r="C1721" s="2" t="s">
        <v>26</v>
      </c>
      <c r="D1721" s="2" t="s">
        <v>12</v>
      </c>
      <c r="E1721" s="2" t="s">
        <v>13</v>
      </c>
      <c r="F1721" s="2" t="s">
        <v>14</v>
      </c>
      <c r="G1721" s="2">
        <v>96</v>
      </c>
      <c r="H1721" s="9">
        <v>50</v>
      </c>
    </row>
    <row r="1722" spans="2:8" x14ac:dyDescent="0.25">
      <c r="B1722" s="3">
        <v>44811</v>
      </c>
      <c r="C1722" s="2" t="s">
        <v>11</v>
      </c>
      <c r="D1722" s="2" t="s">
        <v>12</v>
      </c>
      <c r="E1722" s="2" t="s">
        <v>9</v>
      </c>
      <c r="F1722" s="2" t="s">
        <v>14</v>
      </c>
      <c r="G1722" s="2">
        <v>78</v>
      </c>
      <c r="H1722" s="9">
        <v>99</v>
      </c>
    </row>
    <row r="1723" spans="2:8" x14ac:dyDescent="0.25">
      <c r="B1723" s="3">
        <v>44811</v>
      </c>
      <c r="C1723" s="2" t="s">
        <v>22</v>
      </c>
      <c r="D1723" s="2" t="s">
        <v>12</v>
      </c>
      <c r="E1723" s="2" t="s">
        <v>13</v>
      </c>
      <c r="F1723" s="2" t="s">
        <v>10</v>
      </c>
      <c r="G1723" s="2">
        <v>30</v>
      </c>
      <c r="H1723" s="9">
        <v>133</v>
      </c>
    </row>
    <row r="1724" spans="2:8" x14ac:dyDescent="0.25">
      <c r="B1724" s="3">
        <v>44811</v>
      </c>
      <c r="C1724" s="2" t="s">
        <v>26</v>
      </c>
      <c r="D1724" s="2" t="s">
        <v>12</v>
      </c>
      <c r="E1724" s="2" t="s">
        <v>9</v>
      </c>
      <c r="F1724" s="2" t="s">
        <v>10</v>
      </c>
      <c r="G1724" s="2">
        <v>92</v>
      </c>
      <c r="H1724" s="9">
        <v>49</v>
      </c>
    </row>
    <row r="1725" spans="2:8" x14ac:dyDescent="0.25">
      <c r="B1725" s="3">
        <v>44811</v>
      </c>
      <c r="C1725" s="2" t="s">
        <v>22</v>
      </c>
      <c r="D1725" s="2" t="s">
        <v>12</v>
      </c>
      <c r="E1725" s="2" t="s">
        <v>9</v>
      </c>
      <c r="F1725" s="2" t="s">
        <v>14</v>
      </c>
      <c r="G1725" s="2">
        <v>64</v>
      </c>
      <c r="H1725" s="9">
        <v>139</v>
      </c>
    </row>
    <row r="1726" spans="2:8" x14ac:dyDescent="0.25">
      <c r="B1726" s="3">
        <v>44811</v>
      </c>
      <c r="C1726" s="2" t="s">
        <v>15</v>
      </c>
      <c r="D1726" s="2" t="s">
        <v>8</v>
      </c>
      <c r="E1726" s="2" t="s">
        <v>13</v>
      </c>
      <c r="F1726" s="2" t="s">
        <v>16</v>
      </c>
      <c r="G1726" s="2">
        <v>34</v>
      </c>
      <c r="H1726" s="9">
        <v>110</v>
      </c>
    </row>
    <row r="1727" spans="2:8" x14ac:dyDescent="0.25">
      <c r="B1727" s="3">
        <v>44811</v>
      </c>
      <c r="C1727" s="2" t="s">
        <v>25</v>
      </c>
      <c r="D1727" s="2" t="s">
        <v>12</v>
      </c>
      <c r="E1727" s="2" t="s">
        <v>9</v>
      </c>
      <c r="F1727" s="2" t="s">
        <v>10</v>
      </c>
      <c r="G1727" s="2">
        <v>16</v>
      </c>
      <c r="H1727" s="9">
        <v>89</v>
      </c>
    </row>
    <row r="1728" spans="2:8" x14ac:dyDescent="0.25">
      <c r="B1728" s="3">
        <v>44811</v>
      </c>
      <c r="C1728" s="2" t="s">
        <v>21</v>
      </c>
      <c r="D1728" s="2" t="s">
        <v>8</v>
      </c>
      <c r="E1728" s="2" t="s">
        <v>9</v>
      </c>
      <c r="F1728" s="2" t="s">
        <v>14</v>
      </c>
      <c r="G1728" s="2">
        <v>71</v>
      </c>
      <c r="H1728" s="9">
        <v>132</v>
      </c>
    </row>
    <row r="1729" spans="2:8" x14ac:dyDescent="0.25">
      <c r="B1729" s="3">
        <v>44811</v>
      </c>
      <c r="C1729" s="2" t="s">
        <v>21</v>
      </c>
      <c r="D1729" s="2" t="s">
        <v>8</v>
      </c>
      <c r="E1729" s="2" t="s">
        <v>9</v>
      </c>
      <c r="F1729" s="2" t="s">
        <v>16</v>
      </c>
      <c r="G1729" s="2">
        <v>95</v>
      </c>
      <c r="H1729" s="9">
        <v>109</v>
      </c>
    </row>
    <row r="1730" spans="2:8" x14ac:dyDescent="0.25">
      <c r="B1730" s="3">
        <v>44811</v>
      </c>
      <c r="C1730" s="2" t="s">
        <v>28</v>
      </c>
      <c r="D1730" s="2" t="s">
        <v>8</v>
      </c>
      <c r="E1730" s="2" t="s">
        <v>9</v>
      </c>
      <c r="F1730" s="2" t="s">
        <v>14</v>
      </c>
      <c r="G1730" s="2">
        <v>42</v>
      </c>
      <c r="H1730" s="9">
        <v>123</v>
      </c>
    </row>
    <row r="1731" spans="2:8" x14ac:dyDescent="0.25">
      <c r="B1731" s="3">
        <v>44811</v>
      </c>
      <c r="C1731" s="2" t="s">
        <v>11</v>
      </c>
      <c r="D1731" s="2" t="s">
        <v>12</v>
      </c>
      <c r="E1731" s="2" t="s">
        <v>13</v>
      </c>
      <c r="F1731" s="2" t="s">
        <v>16</v>
      </c>
      <c r="G1731" s="2">
        <v>50</v>
      </c>
      <c r="H1731" s="9">
        <v>60</v>
      </c>
    </row>
    <row r="1732" spans="2:8" x14ac:dyDescent="0.25">
      <c r="B1732" s="3">
        <v>44811</v>
      </c>
      <c r="C1732" s="2" t="s">
        <v>21</v>
      </c>
      <c r="D1732" s="2" t="s">
        <v>8</v>
      </c>
      <c r="E1732" s="2" t="s">
        <v>9</v>
      </c>
      <c r="F1732" s="2" t="s">
        <v>10</v>
      </c>
      <c r="G1732" s="2">
        <v>38</v>
      </c>
      <c r="H1732" s="9">
        <v>89</v>
      </c>
    </row>
    <row r="1733" spans="2:8" x14ac:dyDescent="0.25">
      <c r="B1733" s="3">
        <v>44812</v>
      </c>
      <c r="C1733" s="2" t="s">
        <v>11</v>
      </c>
      <c r="D1733" s="2" t="s">
        <v>12</v>
      </c>
      <c r="E1733" s="2" t="s">
        <v>9</v>
      </c>
      <c r="F1733" s="2" t="s">
        <v>14</v>
      </c>
      <c r="G1733" s="2">
        <v>45</v>
      </c>
      <c r="H1733" s="9">
        <v>125</v>
      </c>
    </row>
    <row r="1734" spans="2:8" x14ac:dyDescent="0.25">
      <c r="B1734" s="3">
        <v>44812</v>
      </c>
      <c r="C1734" s="2" t="s">
        <v>27</v>
      </c>
      <c r="D1734" s="2" t="s">
        <v>18</v>
      </c>
      <c r="E1734" s="2" t="s">
        <v>9</v>
      </c>
      <c r="F1734" s="2" t="s">
        <v>14</v>
      </c>
      <c r="G1734" s="2">
        <v>92</v>
      </c>
      <c r="H1734" s="9">
        <v>68</v>
      </c>
    </row>
    <row r="1735" spans="2:8" x14ac:dyDescent="0.25">
      <c r="B1735" s="3">
        <v>44812</v>
      </c>
      <c r="C1735" s="2" t="s">
        <v>24</v>
      </c>
      <c r="D1735" s="2" t="s">
        <v>18</v>
      </c>
      <c r="E1735" s="2" t="s">
        <v>13</v>
      </c>
      <c r="F1735" s="2" t="s">
        <v>10</v>
      </c>
      <c r="G1735" s="2">
        <v>49</v>
      </c>
      <c r="H1735" s="9">
        <v>28</v>
      </c>
    </row>
    <row r="1736" spans="2:8" x14ac:dyDescent="0.25">
      <c r="B1736" s="3">
        <v>44812</v>
      </c>
      <c r="C1736" s="2" t="s">
        <v>28</v>
      </c>
      <c r="D1736" s="2" t="s">
        <v>8</v>
      </c>
      <c r="E1736" s="2" t="s">
        <v>13</v>
      </c>
      <c r="F1736" s="2" t="s">
        <v>10</v>
      </c>
      <c r="G1736" s="2">
        <v>62</v>
      </c>
      <c r="H1736" s="9">
        <v>78</v>
      </c>
    </row>
    <row r="1737" spans="2:8" x14ac:dyDescent="0.25">
      <c r="B1737" s="3">
        <v>44812</v>
      </c>
      <c r="C1737" s="2" t="s">
        <v>22</v>
      </c>
      <c r="D1737" s="2" t="s">
        <v>12</v>
      </c>
      <c r="E1737" s="2" t="s">
        <v>13</v>
      </c>
      <c r="F1737" s="2" t="s">
        <v>16</v>
      </c>
      <c r="G1737" s="2">
        <v>85</v>
      </c>
      <c r="H1737" s="9">
        <v>54</v>
      </c>
    </row>
    <row r="1738" spans="2:8" x14ac:dyDescent="0.25">
      <c r="B1738" s="3">
        <v>44812</v>
      </c>
      <c r="C1738" s="2" t="s">
        <v>22</v>
      </c>
      <c r="D1738" s="2" t="s">
        <v>12</v>
      </c>
      <c r="E1738" s="2" t="s">
        <v>13</v>
      </c>
      <c r="F1738" s="2" t="s">
        <v>14</v>
      </c>
      <c r="G1738" s="2">
        <v>75</v>
      </c>
      <c r="H1738" s="9">
        <v>139</v>
      </c>
    </row>
    <row r="1739" spans="2:8" x14ac:dyDescent="0.25">
      <c r="B1739" s="3">
        <v>44812</v>
      </c>
      <c r="C1739" s="2" t="s">
        <v>27</v>
      </c>
      <c r="D1739" s="2" t="s">
        <v>18</v>
      </c>
      <c r="E1739" s="2" t="s">
        <v>9</v>
      </c>
      <c r="F1739" s="2" t="s">
        <v>16</v>
      </c>
      <c r="G1739" s="2">
        <v>14</v>
      </c>
      <c r="H1739" s="9">
        <v>92</v>
      </c>
    </row>
    <row r="1740" spans="2:8" x14ac:dyDescent="0.25">
      <c r="B1740" s="3">
        <v>44812</v>
      </c>
      <c r="C1740" s="2" t="s">
        <v>7</v>
      </c>
      <c r="D1740" s="2" t="s">
        <v>8</v>
      </c>
      <c r="E1740" s="2" t="s">
        <v>13</v>
      </c>
      <c r="F1740" s="2" t="s">
        <v>16</v>
      </c>
      <c r="G1740" s="2">
        <v>65</v>
      </c>
      <c r="H1740" s="9">
        <v>83</v>
      </c>
    </row>
    <row r="1741" spans="2:8" x14ac:dyDescent="0.25">
      <c r="B1741" s="3">
        <v>44812</v>
      </c>
      <c r="C1741" s="2" t="s">
        <v>25</v>
      </c>
      <c r="D1741" s="2" t="s">
        <v>12</v>
      </c>
      <c r="E1741" s="2" t="s">
        <v>13</v>
      </c>
      <c r="F1741" s="2" t="s">
        <v>10</v>
      </c>
      <c r="G1741" s="2">
        <v>78</v>
      </c>
      <c r="H1741" s="9">
        <v>140</v>
      </c>
    </row>
    <row r="1742" spans="2:8" x14ac:dyDescent="0.25">
      <c r="B1742" s="3">
        <v>44812</v>
      </c>
      <c r="C1742" s="2" t="s">
        <v>27</v>
      </c>
      <c r="D1742" s="2" t="s">
        <v>18</v>
      </c>
      <c r="E1742" s="2" t="s">
        <v>13</v>
      </c>
      <c r="F1742" s="2" t="s">
        <v>10</v>
      </c>
      <c r="G1742" s="2">
        <v>25</v>
      </c>
      <c r="H1742" s="9">
        <v>21</v>
      </c>
    </row>
    <row r="1743" spans="2:8" x14ac:dyDescent="0.25">
      <c r="B1743" s="3">
        <v>44812</v>
      </c>
      <c r="C1743" s="2" t="s">
        <v>19</v>
      </c>
      <c r="D1743" s="2" t="s">
        <v>12</v>
      </c>
      <c r="E1743" s="2" t="s">
        <v>13</v>
      </c>
      <c r="F1743" s="2" t="s">
        <v>16</v>
      </c>
      <c r="G1743" s="2">
        <v>49</v>
      </c>
      <c r="H1743" s="9">
        <v>148</v>
      </c>
    </row>
    <row r="1744" spans="2:8" x14ac:dyDescent="0.25">
      <c r="B1744" s="3">
        <v>44813</v>
      </c>
      <c r="C1744" s="2" t="s">
        <v>26</v>
      </c>
      <c r="D1744" s="2" t="s">
        <v>12</v>
      </c>
      <c r="E1744" s="2" t="s">
        <v>13</v>
      </c>
      <c r="F1744" s="2" t="s">
        <v>16</v>
      </c>
      <c r="G1744" s="2">
        <v>13</v>
      </c>
      <c r="H1744" s="9">
        <v>61</v>
      </c>
    </row>
    <row r="1745" spans="2:8" x14ac:dyDescent="0.25">
      <c r="B1745" s="3">
        <v>44813</v>
      </c>
      <c r="C1745" s="2" t="s">
        <v>25</v>
      </c>
      <c r="D1745" s="2" t="s">
        <v>12</v>
      </c>
      <c r="E1745" s="2" t="s">
        <v>9</v>
      </c>
      <c r="F1745" s="2" t="s">
        <v>10</v>
      </c>
      <c r="G1745" s="2">
        <v>76</v>
      </c>
      <c r="H1745" s="9">
        <v>92</v>
      </c>
    </row>
    <row r="1746" spans="2:8" x14ac:dyDescent="0.25">
      <c r="B1746" s="3">
        <v>44813</v>
      </c>
      <c r="C1746" s="2" t="s">
        <v>25</v>
      </c>
      <c r="D1746" s="2" t="s">
        <v>12</v>
      </c>
      <c r="E1746" s="2" t="s">
        <v>9</v>
      </c>
      <c r="F1746" s="2" t="s">
        <v>14</v>
      </c>
      <c r="G1746" s="2">
        <v>85</v>
      </c>
      <c r="H1746" s="9">
        <v>87</v>
      </c>
    </row>
    <row r="1747" spans="2:8" x14ac:dyDescent="0.25">
      <c r="B1747" s="3">
        <v>44813</v>
      </c>
      <c r="C1747" s="2" t="s">
        <v>20</v>
      </c>
      <c r="D1747" s="2" t="s">
        <v>8</v>
      </c>
      <c r="E1747" s="2" t="s">
        <v>9</v>
      </c>
      <c r="F1747" s="2" t="s">
        <v>10</v>
      </c>
      <c r="G1747" s="2">
        <v>68</v>
      </c>
      <c r="H1747" s="9">
        <v>106</v>
      </c>
    </row>
    <row r="1748" spans="2:8" x14ac:dyDescent="0.25">
      <c r="B1748" s="3">
        <v>44813</v>
      </c>
      <c r="C1748" s="2" t="s">
        <v>19</v>
      </c>
      <c r="D1748" s="2" t="s">
        <v>12</v>
      </c>
      <c r="E1748" s="2" t="s">
        <v>13</v>
      </c>
      <c r="F1748" s="2" t="s">
        <v>16</v>
      </c>
      <c r="G1748" s="2">
        <v>58</v>
      </c>
      <c r="H1748" s="9">
        <v>21</v>
      </c>
    </row>
    <row r="1749" spans="2:8" x14ac:dyDescent="0.25">
      <c r="B1749" s="3">
        <v>44813</v>
      </c>
      <c r="C1749" s="2" t="s">
        <v>21</v>
      </c>
      <c r="D1749" s="2" t="s">
        <v>8</v>
      </c>
      <c r="E1749" s="2" t="s">
        <v>9</v>
      </c>
      <c r="F1749" s="2" t="s">
        <v>16</v>
      </c>
      <c r="G1749" s="2">
        <v>67</v>
      </c>
      <c r="H1749" s="9">
        <v>86</v>
      </c>
    </row>
    <row r="1750" spans="2:8" x14ac:dyDescent="0.25">
      <c r="B1750" s="3">
        <v>44813</v>
      </c>
      <c r="C1750" s="2" t="s">
        <v>23</v>
      </c>
      <c r="D1750" s="2" t="s">
        <v>18</v>
      </c>
      <c r="E1750" s="2" t="s">
        <v>13</v>
      </c>
      <c r="F1750" s="2" t="s">
        <v>16</v>
      </c>
      <c r="G1750" s="2">
        <v>21</v>
      </c>
      <c r="H1750" s="9">
        <v>134</v>
      </c>
    </row>
    <row r="1751" spans="2:8" x14ac:dyDescent="0.25">
      <c r="B1751" s="3">
        <v>44813</v>
      </c>
      <c r="C1751" s="2" t="s">
        <v>20</v>
      </c>
      <c r="D1751" s="2" t="s">
        <v>8</v>
      </c>
      <c r="E1751" s="2" t="s">
        <v>9</v>
      </c>
      <c r="F1751" s="2" t="s">
        <v>14</v>
      </c>
      <c r="G1751" s="2">
        <v>99</v>
      </c>
      <c r="H1751" s="9">
        <v>36</v>
      </c>
    </row>
    <row r="1752" spans="2:8" x14ac:dyDescent="0.25">
      <c r="B1752" s="3">
        <v>44813</v>
      </c>
      <c r="C1752" s="2" t="s">
        <v>22</v>
      </c>
      <c r="D1752" s="2" t="s">
        <v>12</v>
      </c>
      <c r="E1752" s="2" t="s">
        <v>13</v>
      </c>
      <c r="F1752" s="2" t="s">
        <v>10</v>
      </c>
      <c r="G1752" s="2">
        <v>23</v>
      </c>
      <c r="H1752" s="9">
        <v>40</v>
      </c>
    </row>
    <row r="1753" spans="2:8" x14ac:dyDescent="0.25">
      <c r="B1753" s="3">
        <v>44814</v>
      </c>
      <c r="C1753" s="2" t="s">
        <v>11</v>
      </c>
      <c r="D1753" s="2" t="s">
        <v>12</v>
      </c>
      <c r="E1753" s="2" t="s">
        <v>9</v>
      </c>
      <c r="F1753" s="2" t="s">
        <v>14</v>
      </c>
      <c r="G1753" s="2">
        <v>24</v>
      </c>
      <c r="H1753" s="9">
        <v>73</v>
      </c>
    </row>
    <row r="1754" spans="2:8" x14ac:dyDescent="0.25">
      <c r="B1754" s="3">
        <v>44814</v>
      </c>
      <c r="C1754" s="2" t="s">
        <v>17</v>
      </c>
      <c r="D1754" s="2" t="s">
        <v>18</v>
      </c>
      <c r="E1754" s="2" t="s">
        <v>9</v>
      </c>
      <c r="F1754" s="2" t="s">
        <v>16</v>
      </c>
      <c r="G1754" s="2">
        <v>37</v>
      </c>
      <c r="H1754" s="9">
        <v>85</v>
      </c>
    </row>
    <row r="1755" spans="2:8" x14ac:dyDescent="0.25">
      <c r="B1755" s="3">
        <v>44814</v>
      </c>
      <c r="C1755" s="2" t="s">
        <v>24</v>
      </c>
      <c r="D1755" s="2" t="s">
        <v>18</v>
      </c>
      <c r="E1755" s="2" t="s">
        <v>13</v>
      </c>
      <c r="F1755" s="2" t="s">
        <v>10</v>
      </c>
      <c r="G1755" s="2">
        <v>89</v>
      </c>
      <c r="H1755" s="9">
        <v>33</v>
      </c>
    </row>
    <row r="1756" spans="2:8" x14ac:dyDescent="0.25">
      <c r="B1756" s="3">
        <v>44814</v>
      </c>
      <c r="C1756" s="2" t="s">
        <v>19</v>
      </c>
      <c r="D1756" s="2" t="s">
        <v>12</v>
      </c>
      <c r="E1756" s="2" t="s">
        <v>13</v>
      </c>
      <c r="F1756" s="2" t="s">
        <v>10</v>
      </c>
      <c r="G1756" s="2">
        <v>14</v>
      </c>
      <c r="H1756" s="9">
        <v>46</v>
      </c>
    </row>
    <row r="1757" spans="2:8" x14ac:dyDescent="0.25">
      <c r="B1757" s="3">
        <v>44814</v>
      </c>
      <c r="C1757" s="2" t="s">
        <v>23</v>
      </c>
      <c r="D1757" s="2" t="s">
        <v>18</v>
      </c>
      <c r="E1757" s="2" t="s">
        <v>9</v>
      </c>
      <c r="F1757" s="2" t="s">
        <v>16</v>
      </c>
      <c r="G1757" s="2">
        <v>86</v>
      </c>
      <c r="H1757" s="9">
        <v>94</v>
      </c>
    </row>
    <row r="1758" spans="2:8" x14ac:dyDescent="0.25">
      <c r="B1758" s="3">
        <v>44815</v>
      </c>
      <c r="C1758" s="2" t="s">
        <v>21</v>
      </c>
      <c r="D1758" s="2" t="s">
        <v>8</v>
      </c>
      <c r="E1758" s="2" t="s">
        <v>13</v>
      </c>
      <c r="F1758" s="2" t="s">
        <v>10</v>
      </c>
      <c r="G1758" s="2">
        <v>24</v>
      </c>
      <c r="H1758" s="9">
        <v>111</v>
      </c>
    </row>
    <row r="1759" spans="2:8" x14ac:dyDescent="0.25">
      <c r="B1759" s="3">
        <v>44816</v>
      </c>
      <c r="C1759" s="2" t="s">
        <v>19</v>
      </c>
      <c r="D1759" s="2" t="s">
        <v>12</v>
      </c>
      <c r="E1759" s="2" t="s">
        <v>13</v>
      </c>
      <c r="F1759" s="2" t="s">
        <v>10</v>
      </c>
      <c r="G1759" s="2">
        <v>80</v>
      </c>
      <c r="H1759" s="9">
        <v>61</v>
      </c>
    </row>
    <row r="1760" spans="2:8" x14ac:dyDescent="0.25">
      <c r="B1760" s="3">
        <v>44816</v>
      </c>
      <c r="C1760" s="2" t="s">
        <v>26</v>
      </c>
      <c r="D1760" s="2" t="s">
        <v>12</v>
      </c>
      <c r="E1760" s="2" t="s">
        <v>9</v>
      </c>
      <c r="F1760" s="2" t="s">
        <v>14</v>
      </c>
      <c r="G1760" s="2">
        <v>25</v>
      </c>
      <c r="H1760" s="9">
        <v>91</v>
      </c>
    </row>
    <row r="1761" spans="2:8" x14ac:dyDescent="0.25">
      <c r="B1761" s="3">
        <v>44816</v>
      </c>
      <c r="C1761" s="2" t="s">
        <v>15</v>
      </c>
      <c r="D1761" s="2" t="s">
        <v>8</v>
      </c>
      <c r="E1761" s="2" t="s">
        <v>13</v>
      </c>
      <c r="F1761" s="2" t="s">
        <v>14</v>
      </c>
      <c r="G1761" s="2">
        <v>87</v>
      </c>
      <c r="H1761" s="9">
        <v>143</v>
      </c>
    </row>
    <row r="1762" spans="2:8" x14ac:dyDescent="0.25">
      <c r="B1762" s="3">
        <v>44816</v>
      </c>
      <c r="C1762" s="2" t="s">
        <v>15</v>
      </c>
      <c r="D1762" s="2" t="s">
        <v>8</v>
      </c>
      <c r="E1762" s="2" t="s">
        <v>9</v>
      </c>
      <c r="F1762" s="2" t="s">
        <v>14</v>
      </c>
      <c r="G1762" s="2">
        <v>81</v>
      </c>
      <c r="H1762" s="9">
        <v>36</v>
      </c>
    </row>
    <row r="1763" spans="2:8" x14ac:dyDescent="0.25">
      <c r="B1763" s="3">
        <v>44816</v>
      </c>
      <c r="C1763" s="2" t="s">
        <v>11</v>
      </c>
      <c r="D1763" s="2" t="s">
        <v>12</v>
      </c>
      <c r="E1763" s="2" t="s">
        <v>13</v>
      </c>
      <c r="F1763" s="2" t="s">
        <v>14</v>
      </c>
      <c r="G1763" s="2">
        <v>28</v>
      </c>
      <c r="H1763" s="9">
        <v>67</v>
      </c>
    </row>
    <row r="1764" spans="2:8" x14ac:dyDescent="0.25">
      <c r="B1764" s="3">
        <v>44816</v>
      </c>
      <c r="C1764" s="2" t="s">
        <v>11</v>
      </c>
      <c r="D1764" s="2" t="s">
        <v>12</v>
      </c>
      <c r="E1764" s="2" t="s">
        <v>9</v>
      </c>
      <c r="F1764" s="2" t="s">
        <v>10</v>
      </c>
      <c r="G1764" s="2">
        <v>17</v>
      </c>
      <c r="H1764" s="9">
        <v>105</v>
      </c>
    </row>
    <row r="1765" spans="2:8" x14ac:dyDescent="0.25">
      <c r="B1765" s="3">
        <v>44816</v>
      </c>
      <c r="C1765" s="2" t="s">
        <v>21</v>
      </c>
      <c r="D1765" s="2" t="s">
        <v>8</v>
      </c>
      <c r="E1765" s="2" t="s">
        <v>13</v>
      </c>
      <c r="F1765" s="2" t="s">
        <v>16</v>
      </c>
      <c r="G1765" s="2">
        <v>68</v>
      </c>
      <c r="H1765" s="9">
        <v>53</v>
      </c>
    </row>
    <row r="1766" spans="2:8" x14ac:dyDescent="0.25">
      <c r="B1766" s="3">
        <v>44816</v>
      </c>
      <c r="C1766" s="2" t="s">
        <v>17</v>
      </c>
      <c r="D1766" s="2" t="s">
        <v>18</v>
      </c>
      <c r="E1766" s="2" t="s">
        <v>9</v>
      </c>
      <c r="F1766" s="2" t="s">
        <v>10</v>
      </c>
      <c r="G1766" s="2">
        <v>72</v>
      </c>
      <c r="H1766" s="9">
        <v>87</v>
      </c>
    </row>
    <row r="1767" spans="2:8" x14ac:dyDescent="0.25">
      <c r="B1767" s="3">
        <v>44816</v>
      </c>
      <c r="C1767" s="2" t="s">
        <v>21</v>
      </c>
      <c r="D1767" s="2" t="s">
        <v>8</v>
      </c>
      <c r="E1767" s="2" t="s">
        <v>9</v>
      </c>
      <c r="F1767" s="2" t="s">
        <v>14</v>
      </c>
      <c r="G1767" s="2">
        <v>13</v>
      </c>
      <c r="H1767" s="9">
        <v>68</v>
      </c>
    </row>
    <row r="1768" spans="2:8" x14ac:dyDescent="0.25">
      <c r="B1768" s="3">
        <v>44816</v>
      </c>
      <c r="C1768" s="2" t="s">
        <v>23</v>
      </c>
      <c r="D1768" s="2" t="s">
        <v>18</v>
      </c>
      <c r="E1768" s="2" t="s">
        <v>13</v>
      </c>
      <c r="F1768" s="2" t="s">
        <v>16</v>
      </c>
      <c r="G1768" s="2">
        <v>31</v>
      </c>
      <c r="H1768" s="9">
        <v>88</v>
      </c>
    </row>
    <row r="1769" spans="2:8" x14ac:dyDescent="0.25">
      <c r="B1769" s="3">
        <v>44817</v>
      </c>
      <c r="C1769" s="2" t="s">
        <v>28</v>
      </c>
      <c r="D1769" s="2" t="s">
        <v>8</v>
      </c>
      <c r="E1769" s="2" t="s">
        <v>9</v>
      </c>
      <c r="F1769" s="2" t="s">
        <v>16</v>
      </c>
      <c r="G1769" s="2">
        <v>72</v>
      </c>
      <c r="H1769" s="9">
        <v>143</v>
      </c>
    </row>
    <row r="1770" spans="2:8" x14ac:dyDescent="0.25">
      <c r="B1770" s="3">
        <v>44817</v>
      </c>
      <c r="C1770" s="2" t="s">
        <v>15</v>
      </c>
      <c r="D1770" s="2" t="s">
        <v>8</v>
      </c>
      <c r="E1770" s="2" t="s">
        <v>9</v>
      </c>
      <c r="F1770" s="2" t="s">
        <v>14</v>
      </c>
      <c r="G1770" s="2">
        <v>62</v>
      </c>
      <c r="H1770" s="9">
        <v>23</v>
      </c>
    </row>
    <row r="1771" spans="2:8" x14ac:dyDescent="0.25">
      <c r="B1771" s="3">
        <v>44817</v>
      </c>
      <c r="C1771" s="2" t="s">
        <v>29</v>
      </c>
      <c r="D1771" s="2" t="s">
        <v>18</v>
      </c>
      <c r="E1771" s="2" t="s">
        <v>13</v>
      </c>
      <c r="F1771" s="2" t="s">
        <v>14</v>
      </c>
      <c r="G1771" s="2">
        <v>37</v>
      </c>
      <c r="H1771" s="9">
        <v>129</v>
      </c>
    </row>
    <row r="1772" spans="2:8" x14ac:dyDescent="0.25">
      <c r="B1772" s="3">
        <v>44817</v>
      </c>
      <c r="C1772" s="2" t="s">
        <v>19</v>
      </c>
      <c r="D1772" s="2" t="s">
        <v>12</v>
      </c>
      <c r="E1772" s="2" t="s">
        <v>9</v>
      </c>
      <c r="F1772" s="2" t="s">
        <v>10</v>
      </c>
      <c r="G1772" s="2">
        <v>47</v>
      </c>
      <c r="H1772" s="9">
        <v>75</v>
      </c>
    </row>
    <row r="1773" spans="2:8" x14ac:dyDescent="0.25">
      <c r="B1773" s="3">
        <v>44817</v>
      </c>
      <c r="C1773" s="2" t="s">
        <v>17</v>
      </c>
      <c r="D1773" s="2" t="s">
        <v>18</v>
      </c>
      <c r="E1773" s="2" t="s">
        <v>9</v>
      </c>
      <c r="F1773" s="2" t="s">
        <v>14</v>
      </c>
      <c r="G1773" s="2">
        <v>77</v>
      </c>
      <c r="H1773" s="9">
        <v>99</v>
      </c>
    </row>
    <row r="1774" spans="2:8" x14ac:dyDescent="0.25">
      <c r="B1774" s="3">
        <v>44817</v>
      </c>
      <c r="C1774" s="2" t="s">
        <v>17</v>
      </c>
      <c r="D1774" s="2" t="s">
        <v>18</v>
      </c>
      <c r="E1774" s="2" t="s">
        <v>9</v>
      </c>
      <c r="F1774" s="2" t="s">
        <v>10</v>
      </c>
      <c r="G1774" s="2">
        <v>49</v>
      </c>
      <c r="H1774" s="9">
        <v>24</v>
      </c>
    </row>
    <row r="1775" spans="2:8" x14ac:dyDescent="0.25">
      <c r="B1775" s="3">
        <v>44817</v>
      </c>
      <c r="C1775" s="2" t="s">
        <v>11</v>
      </c>
      <c r="D1775" s="2" t="s">
        <v>12</v>
      </c>
      <c r="E1775" s="2" t="s">
        <v>9</v>
      </c>
      <c r="F1775" s="2" t="s">
        <v>14</v>
      </c>
      <c r="G1775" s="2">
        <v>65</v>
      </c>
      <c r="H1775" s="9">
        <v>114</v>
      </c>
    </row>
    <row r="1776" spans="2:8" x14ac:dyDescent="0.25">
      <c r="B1776" s="3">
        <v>44817</v>
      </c>
      <c r="C1776" s="2" t="s">
        <v>29</v>
      </c>
      <c r="D1776" s="2" t="s">
        <v>18</v>
      </c>
      <c r="E1776" s="2" t="s">
        <v>9</v>
      </c>
      <c r="F1776" s="2" t="s">
        <v>14</v>
      </c>
      <c r="G1776" s="2">
        <v>18</v>
      </c>
      <c r="H1776" s="9">
        <v>141</v>
      </c>
    </row>
    <row r="1777" spans="2:8" x14ac:dyDescent="0.25">
      <c r="B1777" s="3">
        <v>44817</v>
      </c>
      <c r="C1777" s="2" t="s">
        <v>7</v>
      </c>
      <c r="D1777" s="2" t="s">
        <v>8</v>
      </c>
      <c r="E1777" s="2" t="s">
        <v>13</v>
      </c>
      <c r="F1777" s="2" t="s">
        <v>10</v>
      </c>
      <c r="G1777" s="2">
        <v>59</v>
      </c>
      <c r="H1777" s="9">
        <v>63</v>
      </c>
    </row>
    <row r="1778" spans="2:8" x14ac:dyDescent="0.25">
      <c r="B1778" s="3">
        <v>44818</v>
      </c>
      <c r="C1778" s="2" t="s">
        <v>23</v>
      </c>
      <c r="D1778" s="2" t="s">
        <v>18</v>
      </c>
      <c r="E1778" s="2" t="s">
        <v>13</v>
      </c>
      <c r="F1778" s="2" t="s">
        <v>16</v>
      </c>
      <c r="G1778" s="2">
        <v>74</v>
      </c>
      <c r="H1778" s="9">
        <v>39</v>
      </c>
    </row>
    <row r="1779" spans="2:8" x14ac:dyDescent="0.25">
      <c r="B1779" s="3">
        <v>44818</v>
      </c>
      <c r="C1779" s="2" t="s">
        <v>27</v>
      </c>
      <c r="D1779" s="2" t="s">
        <v>18</v>
      </c>
      <c r="E1779" s="2" t="s">
        <v>9</v>
      </c>
      <c r="F1779" s="2" t="s">
        <v>16</v>
      </c>
      <c r="G1779" s="2">
        <v>13</v>
      </c>
      <c r="H1779" s="9">
        <v>57</v>
      </c>
    </row>
    <row r="1780" spans="2:8" x14ac:dyDescent="0.25">
      <c r="B1780" s="3">
        <v>44818</v>
      </c>
      <c r="C1780" s="2" t="s">
        <v>29</v>
      </c>
      <c r="D1780" s="2" t="s">
        <v>18</v>
      </c>
      <c r="E1780" s="2" t="s">
        <v>9</v>
      </c>
      <c r="F1780" s="2" t="s">
        <v>14</v>
      </c>
      <c r="G1780" s="2">
        <v>36</v>
      </c>
      <c r="H1780" s="9">
        <v>57</v>
      </c>
    </row>
    <row r="1781" spans="2:8" x14ac:dyDescent="0.25">
      <c r="B1781" s="3">
        <v>44818</v>
      </c>
      <c r="C1781" s="2" t="s">
        <v>27</v>
      </c>
      <c r="D1781" s="2" t="s">
        <v>18</v>
      </c>
      <c r="E1781" s="2" t="s">
        <v>13</v>
      </c>
      <c r="F1781" s="2" t="s">
        <v>16</v>
      </c>
      <c r="G1781" s="2">
        <v>22</v>
      </c>
      <c r="H1781" s="9">
        <v>41</v>
      </c>
    </row>
    <row r="1782" spans="2:8" x14ac:dyDescent="0.25">
      <c r="B1782" s="3">
        <v>44818</v>
      </c>
      <c r="C1782" s="2" t="s">
        <v>22</v>
      </c>
      <c r="D1782" s="2" t="s">
        <v>12</v>
      </c>
      <c r="E1782" s="2" t="s">
        <v>9</v>
      </c>
      <c r="F1782" s="2" t="s">
        <v>10</v>
      </c>
      <c r="G1782" s="2">
        <v>95</v>
      </c>
      <c r="H1782" s="9">
        <v>84</v>
      </c>
    </row>
    <row r="1783" spans="2:8" x14ac:dyDescent="0.25">
      <c r="B1783" s="3">
        <v>44818</v>
      </c>
      <c r="C1783" s="2" t="s">
        <v>29</v>
      </c>
      <c r="D1783" s="2" t="s">
        <v>18</v>
      </c>
      <c r="E1783" s="2" t="s">
        <v>9</v>
      </c>
      <c r="F1783" s="2" t="s">
        <v>14</v>
      </c>
      <c r="G1783" s="2">
        <v>74</v>
      </c>
      <c r="H1783" s="9">
        <v>82</v>
      </c>
    </row>
    <row r="1784" spans="2:8" x14ac:dyDescent="0.25">
      <c r="B1784" s="3">
        <v>44818</v>
      </c>
      <c r="C1784" s="2" t="s">
        <v>15</v>
      </c>
      <c r="D1784" s="2" t="s">
        <v>8</v>
      </c>
      <c r="E1784" s="2" t="s">
        <v>9</v>
      </c>
      <c r="F1784" s="2" t="s">
        <v>16</v>
      </c>
      <c r="G1784" s="2">
        <v>39</v>
      </c>
      <c r="H1784" s="9">
        <v>51</v>
      </c>
    </row>
    <row r="1785" spans="2:8" x14ac:dyDescent="0.25">
      <c r="B1785" s="3">
        <v>44818</v>
      </c>
      <c r="C1785" s="2" t="s">
        <v>21</v>
      </c>
      <c r="D1785" s="2" t="s">
        <v>8</v>
      </c>
      <c r="E1785" s="2" t="s">
        <v>13</v>
      </c>
      <c r="F1785" s="2" t="s">
        <v>10</v>
      </c>
      <c r="G1785" s="2">
        <v>30</v>
      </c>
      <c r="H1785" s="9">
        <v>87</v>
      </c>
    </row>
    <row r="1786" spans="2:8" x14ac:dyDescent="0.25">
      <c r="B1786" s="3">
        <v>44818</v>
      </c>
      <c r="C1786" s="2" t="s">
        <v>21</v>
      </c>
      <c r="D1786" s="2" t="s">
        <v>8</v>
      </c>
      <c r="E1786" s="2" t="s">
        <v>9</v>
      </c>
      <c r="F1786" s="2" t="s">
        <v>16</v>
      </c>
      <c r="G1786" s="2">
        <v>19</v>
      </c>
      <c r="H1786" s="9">
        <v>71</v>
      </c>
    </row>
    <row r="1787" spans="2:8" x14ac:dyDescent="0.25">
      <c r="B1787" s="3">
        <v>44818</v>
      </c>
      <c r="C1787" s="2" t="s">
        <v>29</v>
      </c>
      <c r="D1787" s="2" t="s">
        <v>18</v>
      </c>
      <c r="E1787" s="2" t="s">
        <v>13</v>
      </c>
      <c r="F1787" s="2" t="s">
        <v>16</v>
      </c>
      <c r="G1787" s="2">
        <v>52</v>
      </c>
      <c r="H1787" s="9">
        <v>148</v>
      </c>
    </row>
    <row r="1788" spans="2:8" x14ac:dyDescent="0.25">
      <c r="B1788" s="3">
        <v>44818</v>
      </c>
      <c r="C1788" s="2" t="s">
        <v>22</v>
      </c>
      <c r="D1788" s="2" t="s">
        <v>12</v>
      </c>
      <c r="E1788" s="2" t="s">
        <v>13</v>
      </c>
      <c r="F1788" s="2" t="s">
        <v>10</v>
      </c>
      <c r="G1788" s="2">
        <v>44</v>
      </c>
      <c r="H1788" s="9">
        <v>30</v>
      </c>
    </row>
    <row r="1789" spans="2:8" x14ac:dyDescent="0.25">
      <c r="B1789" s="3">
        <v>44818</v>
      </c>
      <c r="C1789" s="2" t="s">
        <v>25</v>
      </c>
      <c r="D1789" s="2" t="s">
        <v>12</v>
      </c>
      <c r="E1789" s="2" t="s">
        <v>13</v>
      </c>
      <c r="F1789" s="2" t="s">
        <v>14</v>
      </c>
      <c r="G1789" s="2">
        <v>30</v>
      </c>
      <c r="H1789" s="9">
        <v>98</v>
      </c>
    </row>
    <row r="1790" spans="2:8" x14ac:dyDescent="0.25">
      <c r="B1790" s="3">
        <v>44818</v>
      </c>
      <c r="C1790" s="2" t="s">
        <v>26</v>
      </c>
      <c r="D1790" s="2" t="s">
        <v>12</v>
      </c>
      <c r="E1790" s="2" t="s">
        <v>9</v>
      </c>
      <c r="F1790" s="2" t="s">
        <v>16</v>
      </c>
      <c r="G1790" s="2">
        <v>87</v>
      </c>
      <c r="H1790" s="9">
        <v>37</v>
      </c>
    </row>
    <row r="1791" spans="2:8" x14ac:dyDescent="0.25">
      <c r="B1791" s="3">
        <v>44818</v>
      </c>
      <c r="C1791" s="2" t="s">
        <v>17</v>
      </c>
      <c r="D1791" s="2" t="s">
        <v>18</v>
      </c>
      <c r="E1791" s="2" t="s">
        <v>13</v>
      </c>
      <c r="F1791" s="2" t="s">
        <v>16</v>
      </c>
      <c r="G1791" s="2">
        <v>17</v>
      </c>
      <c r="H1791" s="9">
        <v>143</v>
      </c>
    </row>
    <row r="1792" spans="2:8" x14ac:dyDescent="0.25">
      <c r="B1792" s="3">
        <v>44819</v>
      </c>
      <c r="C1792" s="2" t="s">
        <v>20</v>
      </c>
      <c r="D1792" s="2" t="s">
        <v>8</v>
      </c>
      <c r="E1792" s="2" t="s">
        <v>9</v>
      </c>
      <c r="F1792" s="2" t="s">
        <v>14</v>
      </c>
      <c r="G1792" s="2">
        <v>91</v>
      </c>
      <c r="H1792" s="9">
        <v>107</v>
      </c>
    </row>
    <row r="1793" spans="2:8" x14ac:dyDescent="0.25">
      <c r="B1793" s="3">
        <v>44819</v>
      </c>
      <c r="C1793" s="2" t="s">
        <v>24</v>
      </c>
      <c r="D1793" s="2" t="s">
        <v>18</v>
      </c>
      <c r="E1793" s="2" t="s">
        <v>9</v>
      </c>
      <c r="F1793" s="2" t="s">
        <v>14</v>
      </c>
      <c r="G1793" s="2">
        <v>39</v>
      </c>
      <c r="H1793" s="9">
        <v>90</v>
      </c>
    </row>
    <row r="1794" spans="2:8" x14ac:dyDescent="0.25">
      <c r="B1794" s="3">
        <v>44819</v>
      </c>
      <c r="C1794" s="2" t="s">
        <v>22</v>
      </c>
      <c r="D1794" s="2" t="s">
        <v>12</v>
      </c>
      <c r="E1794" s="2" t="s">
        <v>13</v>
      </c>
      <c r="F1794" s="2" t="s">
        <v>10</v>
      </c>
      <c r="G1794" s="2">
        <v>97</v>
      </c>
      <c r="H1794" s="9">
        <v>38</v>
      </c>
    </row>
    <row r="1795" spans="2:8" x14ac:dyDescent="0.25">
      <c r="B1795" s="3">
        <v>44819</v>
      </c>
      <c r="C1795" s="2" t="s">
        <v>23</v>
      </c>
      <c r="D1795" s="2" t="s">
        <v>18</v>
      </c>
      <c r="E1795" s="2" t="s">
        <v>9</v>
      </c>
      <c r="F1795" s="2" t="s">
        <v>14</v>
      </c>
      <c r="G1795" s="2">
        <v>80</v>
      </c>
      <c r="H1795" s="9">
        <v>104</v>
      </c>
    </row>
    <row r="1796" spans="2:8" x14ac:dyDescent="0.25">
      <c r="B1796" s="3">
        <v>44819</v>
      </c>
      <c r="C1796" s="2" t="s">
        <v>11</v>
      </c>
      <c r="D1796" s="2" t="s">
        <v>12</v>
      </c>
      <c r="E1796" s="2" t="s">
        <v>13</v>
      </c>
      <c r="F1796" s="2" t="s">
        <v>10</v>
      </c>
      <c r="G1796" s="2">
        <v>76</v>
      </c>
      <c r="H1796" s="9">
        <v>122</v>
      </c>
    </row>
    <row r="1797" spans="2:8" x14ac:dyDescent="0.25">
      <c r="B1797" s="3">
        <v>44820</v>
      </c>
      <c r="C1797" s="2" t="s">
        <v>29</v>
      </c>
      <c r="D1797" s="2" t="s">
        <v>18</v>
      </c>
      <c r="E1797" s="2" t="s">
        <v>13</v>
      </c>
      <c r="F1797" s="2" t="s">
        <v>14</v>
      </c>
      <c r="G1797" s="2">
        <v>65</v>
      </c>
      <c r="H1797" s="9">
        <v>71</v>
      </c>
    </row>
    <row r="1798" spans="2:8" x14ac:dyDescent="0.25">
      <c r="B1798" s="3">
        <v>44821</v>
      </c>
      <c r="C1798" s="2" t="s">
        <v>24</v>
      </c>
      <c r="D1798" s="2" t="s">
        <v>18</v>
      </c>
      <c r="E1798" s="2" t="s">
        <v>9</v>
      </c>
      <c r="F1798" s="2" t="s">
        <v>16</v>
      </c>
      <c r="G1798" s="2">
        <v>67</v>
      </c>
      <c r="H1798" s="9">
        <v>107</v>
      </c>
    </row>
    <row r="1799" spans="2:8" x14ac:dyDescent="0.25">
      <c r="B1799" s="3">
        <v>44821</v>
      </c>
      <c r="C1799" s="2" t="s">
        <v>27</v>
      </c>
      <c r="D1799" s="2" t="s">
        <v>18</v>
      </c>
      <c r="E1799" s="2" t="s">
        <v>9</v>
      </c>
      <c r="F1799" s="2" t="s">
        <v>14</v>
      </c>
      <c r="G1799" s="2">
        <v>26</v>
      </c>
      <c r="H1799" s="9">
        <v>88</v>
      </c>
    </row>
    <row r="1800" spans="2:8" x14ac:dyDescent="0.25">
      <c r="B1800" s="3">
        <v>44821</v>
      </c>
      <c r="C1800" s="2" t="s">
        <v>27</v>
      </c>
      <c r="D1800" s="2" t="s">
        <v>18</v>
      </c>
      <c r="E1800" s="2" t="s">
        <v>13</v>
      </c>
      <c r="F1800" s="2" t="s">
        <v>14</v>
      </c>
      <c r="G1800" s="2">
        <v>45</v>
      </c>
      <c r="H1800" s="9">
        <v>79</v>
      </c>
    </row>
    <row r="1801" spans="2:8" x14ac:dyDescent="0.25">
      <c r="B1801" s="3">
        <v>44821</v>
      </c>
      <c r="C1801" s="2" t="s">
        <v>7</v>
      </c>
      <c r="D1801" s="2" t="s">
        <v>8</v>
      </c>
      <c r="E1801" s="2" t="s">
        <v>9</v>
      </c>
      <c r="F1801" s="2" t="s">
        <v>14</v>
      </c>
      <c r="G1801" s="2">
        <v>31</v>
      </c>
      <c r="H1801" s="9">
        <v>136</v>
      </c>
    </row>
    <row r="1802" spans="2:8" x14ac:dyDescent="0.25">
      <c r="B1802" s="3">
        <v>44821</v>
      </c>
      <c r="C1802" s="2" t="s">
        <v>21</v>
      </c>
      <c r="D1802" s="2" t="s">
        <v>8</v>
      </c>
      <c r="E1802" s="2" t="s">
        <v>13</v>
      </c>
      <c r="F1802" s="2" t="s">
        <v>16</v>
      </c>
      <c r="G1802" s="2">
        <v>83</v>
      </c>
      <c r="H1802" s="9">
        <v>126</v>
      </c>
    </row>
    <row r="1803" spans="2:8" x14ac:dyDescent="0.25">
      <c r="B1803" s="3">
        <v>44821</v>
      </c>
      <c r="C1803" s="2" t="s">
        <v>11</v>
      </c>
      <c r="D1803" s="2" t="s">
        <v>12</v>
      </c>
      <c r="E1803" s="2" t="s">
        <v>13</v>
      </c>
      <c r="F1803" s="2" t="s">
        <v>14</v>
      </c>
      <c r="G1803" s="2">
        <v>24</v>
      </c>
      <c r="H1803" s="9">
        <v>123</v>
      </c>
    </row>
    <row r="1804" spans="2:8" x14ac:dyDescent="0.25">
      <c r="B1804" s="3">
        <v>44821</v>
      </c>
      <c r="C1804" s="2" t="s">
        <v>27</v>
      </c>
      <c r="D1804" s="2" t="s">
        <v>18</v>
      </c>
      <c r="E1804" s="2" t="s">
        <v>13</v>
      </c>
      <c r="F1804" s="2" t="s">
        <v>14</v>
      </c>
      <c r="G1804" s="2">
        <v>79</v>
      </c>
      <c r="H1804" s="9">
        <v>141</v>
      </c>
    </row>
    <row r="1805" spans="2:8" x14ac:dyDescent="0.25">
      <c r="B1805" s="3">
        <v>44822</v>
      </c>
      <c r="C1805" s="2" t="s">
        <v>20</v>
      </c>
      <c r="D1805" s="2" t="s">
        <v>8</v>
      </c>
      <c r="E1805" s="2" t="s">
        <v>13</v>
      </c>
      <c r="F1805" s="2" t="s">
        <v>14</v>
      </c>
      <c r="G1805" s="2">
        <v>89</v>
      </c>
      <c r="H1805" s="9">
        <v>118</v>
      </c>
    </row>
    <row r="1806" spans="2:8" x14ac:dyDescent="0.25">
      <c r="B1806" s="3">
        <v>44822</v>
      </c>
      <c r="C1806" s="2" t="s">
        <v>25</v>
      </c>
      <c r="D1806" s="2" t="s">
        <v>12</v>
      </c>
      <c r="E1806" s="2" t="s">
        <v>9</v>
      </c>
      <c r="F1806" s="2" t="s">
        <v>16</v>
      </c>
      <c r="G1806" s="2">
        <v>53</v>
      </c>
      <c r="H1806" s="9">
        <v>30</v>
      </c>
    </row>
    <row r="1807" spans="2:8" x14ac:dyDescent="0.25">
      <c r="B1807" s="3">
        <v>44822</v>
      </c>
      <c r="C1807" s="2" t="s">
        <v>28</v>
      </c>
      <c r="D1807" s="2" t="s">
        <v>8</v>
      </c>
      <c r="E1807" s="2" t="s">
        <v>9</v>
      </c>
      <c r="F1807" s="2" t="s">
        <v>14</v>
      </c>
      <c r="G1807" s="2">
        <v>70</v>
      </c>
      <c r="H1807" s="9">
        <v>121</v>
      </c>
    </row>
    <row r="1808" spans="2:8" x14ac:dyDescent="0.25">
      <c r="B1808" s="3">
        <v>44822</v>
      </c>
      <c r="C1808" s="2" t="s">
        <v>26</v>
      </c>
      <c r="D1808" s="2" t="s">
        <v>12</v>
      </c>
      <c r="E1808" s="2" t="s">
        <v>9</v>
      </c>
      <c r="F1808" s="2" t="s">
        <v>16</v>
      </c>
      <c r="G1808" s="2">
        <v>88</v>
      </c>
      <c r="H1808" s="9">
        <v>116</v>
      </c>
    </row>
    <row r="1809" spans="2:8" x14ac:dyDescent="0.25">
      <c r="B1809" s="3">
        <v>44822</v>
      </c>
      <c r="C1809" s="2" t="s">
        <v>15</v>
      </c>
      <c r="D1809" s="2" t="s">
        <v>8</v>
      </c>
      <c r="E1809" s="2" t="s">
        <v>9</v>
      </c>
      <c r="F1809" s="2" t="s">
        <v>14</v>
      </c>
      <c r="G1809" s="2">
        <v>63</v>
      </c>
      <c r="H1809" s="9">
        <v>89</v>
      </c>
    </row>
    <row r="1810" spans="2:8" x14ac:dyDescent="0.25">
      <c r="B1810" s="3">
        <v>44822</v>
      </c>
      <c r="C1810" s="2" t="s">
        <v>25</v>
      </c>
      <c r="D1810" s="2" t="s">
        <v>12</v>
      </c>
      <c r="E1810" s="2" t="s">
        <v>13</v>
      </c>
      <c r="F1810" s="2" t="s">
        <v>10</v>
      </c>
      <c r="G1810" s="2">
        <v>27</v>
      </c>
      <c r="H1810" s="9">
        <v>150</v>
      </c>
    </row>
    <row r="1811" spans="2:8" x14ac:dyDescent="0.25">
      <c r="B1811" s="3">
        <v>44822</v>
      </c>
      <c r="C1811" s="2" t="s">
        <v>26</v>
      </c>
      <c r="D1811" s="2" t="s">
        <v>12</v>
      </c>
      <c r="E1811" s="2" t="s">
        <v>9</v>
      </c>
      <c r="F1811" s="2" t="s">
        <v>14</v>
      </c>
      <c r="G1811" s="2">
        <v>93</v>
      </c>
      <c r="H1811" s="9">
        <v>118</v>
      </c>
    </row>
    <row r="1812" spans="2:8" x14ac:dyDescent="0.25">
      <c r="B1812" s="3">
        <v>44822</v>
      </c>
      <c r="C1812" s="2" t="s">
        <v>21</v>
      </c>
      <c r="D1812" s="2" t="s">
        <v>8</v>
      </c>
      <c r="E1812" s="2" t="s">
        <v>9</v>
      </c>
      <c r="F1812" s="2" t="s">
        <v>10</v>
      </c>
      <c r="G1812" s="2">
        <v>33</v>
      </c>
      <c r="H1812" s="9">
        <v>71</v>
      </c>
    </row>
    <row r="1813" spans="2:8" x14ac:dyDescent="0.25">
      <c r="B1813" s="3">
        <v>44822</v>
      </c>
      <c r="C1813" s="2" t="s">
        <v>19</v>
      </c>
      <c r="D1813" s="2" t="s">
        <v>12</v>
      </c>
      <c r="E1813" s="2" t="s">
        <v>13</v>
      </c>
      <c r="F1813" s="2" t="s">
        <v>14</v>
      </c>
      <c r="G1813" s="2">
        <v>77</v>
      </c>
      <c r="H1813" s="9">
        <v>72</v>
      </c>
    </row>
    <row r="1814" spans="2:8" x14ac:dyDescent="0.25">
      <c r="B1814" s="3">
        <v>44823</v>
      </c>
      <c r="C1814" s="2" t="s">
        <v>27</v>
      </c>
      <c r="D1814" s="2" t="s">
        <v>18</v>
      </c>
      <c r="E1814" s="2" t="s">
        <v>9</v>
      </c>
      <c r="F1814" s="2" t="s">
        <v>14</v>
      </c>
      <c r="G1814" s="2">
        <v>13</v>
      </c>
      <c r="H1814" s="9">
        <v>88</v>
      </c>
    </row>
    <row r="1815" spans="2:8" x14ac:dyDescent="0.25">
      <c r="B1815" s="3">
        <v>44823</v>
      </c>
      <c r="C1815" s="2" t="s">
        <v>26</v>
      </c>
      <c r="D1815" s="2" t="s">
        <v>12</v>
      </c>
      <c r="E1815" s="2" t="s">
        <v>9</v>
      </c>
      <c r="F1815" s="2" t="s">
        <v>14</v>
      </c>
      <c r="G1815" s="2">
        <v>93</v>
      </c>
      <c r="H1815" s="9">
        <v>87</v>
      </c>
    </row>
    <row r="1816" spans="2:8" x14ac:dyDescent="0.25">
      <c r="B1816" s="3">
        <v>44823</v>
      </c>
      <c r="C1816" s="2" t="s">
        <v>20</v>
      </c>
      <c r="D1816" s="2" t="s">
        <v>8</v>
      </c>
      <c r="E1816" s="2" t="s">
        <v>9</v>
      </c>
      <c r="F1816" s="2" t="s">
        <v>16</v>
      </c>
      <c r="G1816" s="2">
        <v>52</v>
      </c>
      <c r="H1816" s="9">
        <v>140</v>
      </c>
    </row>
    <row r="1817" spans="2:8" x14ac:dyDescent="0.25">
      <c r="B1817" s="3">
        <v>44823</v>
      </c>
      <c r="C1817" s="2" t="s">
        <v>29</v>
      </c>
      <c r="D1817" s="2" t="s">
        <v>18</v>
      </c>
      <c r="E1817" s="2" t="s">
        <v>13</v>
      </c>
      <c r="F1817" s="2" t="s">
        <v>14</v>
      </c>
      <c r="G1817" s="2">
        <v>27</v>
      </c>
      <c r="H1817" s="9">
        <v>126</v>
      </c>
    </row>
    <row r="1818" spans="2:8" x14ac:dyDescent="0.25">
      <c r="B1818" s="3">
        <v>44823</v>
      </c>
      <c r="C1818" s="2" t="s">
        <v>7</v>
      </c>
      <c r="D1818" s="2" t="s">
        <v>8</v>
      </c>
      <c r="E1818" s="2" t="s">
        <v>13</v>
      </c>
      <c r="F1818" s="2" t="s">
        <v>14</v>
      </c>
      <c r="G1818" s="2">
        <v>73</v>
      </c>
      <c r="H1818" s="9">
        <v>74</v>
      </c>
    </row>
    <row r="1819" spans="2:8" x14ac:dyDescent="0.25">
      <c r="B1819" s="3">
        <v>44823</v>
      </c>
      <c r="C1819" s="2" t="s">
        <v>27</v>
      </c>
      <c r="D1819" s="2" t="s">
        <v>18</v>
      </c>
      <c r="E1819" s="2" t="s">
        <v>13</v>
      </c>
      <c r="F1819" s="2" t="s">
        <v>10</v>
      </c>
      <c r="G1819" s="2">
        <v>29</v>
      </c>
      <c r="H1819" s="9">
        <v>77</v>
      </c>
    </row>
    <row r="1820" spans="2:8" x14ac:dyDescent="0.25">
      <c r="B1820" s="3">
        <v>44823</v>
      </c>
      <c r="C1820" s="2" t="s">
        <v>15</v>
      </c>
      <c r="D1820" s="2" t="s">
        <v>8</v>
      </c>
      <c r="E1820" s="2" t="s">
        <v>13</v>
      </c>
      <c r="F1820" s="2" t="s">
        <v>16</v>
      </c>
      <c r="G1820" s="2">
        <v>96</v>
      </c>
      <c r="H1820" s="9">
        <v>87</v>
      </c>
    </row>
    <row r="1821" spans="2:8" x14ac:dyDescent="0.25">
      <c r="B1821" s="3">
        <v>44823</v>
      </c>
      <c r="C1821" s="2" t="s">
        <v>20</v>
      </c>
      <c r="D1821" s="2" t="s">
        <v>8</v>
      </c>
      <c r="E1821" s="2" t="s">
        <v>9</v>
      </c>
      <c r="F1821" s="2" t="s">
        <v>10</v>
      </c>
      <c r="G1821" s="2">
        <v>100</v>
      </c>
      <c r="H1821" s="9">
        <v>78</v>
      </c>
    </row>
    <row r="1822" spans="2:8" x14ac:dyDescent="0.25">
      <c r="B1822" s="3">
        <v>44824</v>
      </c>
      <c r="C1822" s="2" t="s">
        <v>27</v>
      </c>
      <c r="D1822" s="2" t="s">
        <v>18</v>
      </c>
      <c r="E1822" s="2" t="s">
        <v>13</v>
      </c>
      <c r="F1822" s="2" t="s">
        <v>16</v>
      </c>
      <c r="G1822" s="2">
        <v>90</v>
      </c>
      <c r="H1822" s="9">
        <v>62</v>
      </c>
    </row>
    <row r="1823" spans="2:8" x14ac:dyDescent="0.25">
      <c r="B1823" s="3">
        <v>44824</v>
      </c>
      <c r="C1823" s="2" t="s">
        <v>19</v>
      </c>
      <c r="D1823" s="2" t="s">
        <v>12</v>
      </c>
      <c r="E1823" s="2" t="s">
        <v>13</v>
      </c>
      <c r="F1823" s="2" t="s">
        <v>10</v>
      </c>
      <c r="G1823" s="2">
        <v>56</v>
      </c>
      <c r="H1823" s="9">
        <v>43</v>
      </c>
    </row>
    <row r="1824" spans="2:8" x14ac:dyDescent="0.25">
      <c r="B1824" s="3">
        <v>44824</v>
      </c>
      <c r="C1824" s="2" t="s">
        <v>11</v>
      </c>
      <c r="D1824" s="2" t="s">
        <v>12</v>
      </c>
      <c r="E1824" s="2" t="s">
        <v>13</v>
      </c>
      <c r="F1824" s="2" t="s">
        <v>16</v>
      </c>
      <c r="G1824" s="2">
        <v>100</v>
      </c>
      <c r="H1824" s="9">
        <v>56</v>
      </c>
    </row>
    <row r="1825" spans="2:8" x14ac:dyDescent="0.25">
      <c r="B1825" s="3">
        <v>44824</v>
      </c>
      <c r="C1825" s="2" t="s">
        <v>26</v>
      </c>
      <c r="D1825" s="2" t="s">
        <v>12</v>
      </c>
      <c r="E1825" s="2" t="s">
        <v>9</v>
      </c>
      <c r="F1825" s="2" t="s">
        <v>10</v>
      </c>
      <c r="G1825" s="2">
        <v>53</v>
      </c>
      <c r="H1825" s="9">
        <v>121</v>
      </c>
    </row>
    <row r="1826" spans="2:8" x14ac:dyDescent="0.25">
      <c r="B1826" s="3">
        <v>44824</v>
      </c>
      <c r="C1826" s="2" t="s">
        <v>26</v>
      </c>
      <c r="D1826" s="2" t="s">
        <v>12</v>
      </c>
      <c r="E1826" s="2" t="s">
        <v>9</v>
      </c>
      <c r="F1826" s="2" t="s">
        <v>16</v>
      </c>
      <c r="G1826" s="2">
        <v>85</v>
      </c>
      <c r="H1826" s="9">
        <v>75</v>
      </c>
    </row>
    <row r="1827" spans="2:8" x14ac:dyDescent="0.25">
      <c r="B1827" s="3">
        <v>44824</v>
      </c>
      <c r="C1827" s="2" t="s">
        <v>20</v>
      </c>
      <c r="D1827" s="2" t="s">
        <v>8</v>
      </c>
      <c r="E1827" s="2" t="s">
        <v>9</v>
      </c>
      <c r="F1827" s="2" t="s">
        <v>16</v>
      </c>
      <c r="G1827" s="2">
        <v>21</v>
      </c>
      <c r="H1827" s="9">
        <v>21</v>
      </c>
    </row>
    <row r="1828" spans="2:8" x14ac:dyDescent="0.25">
      <c r="B1828" s="3">
        <v>44824</v>
      </c>
      <c r="C1828" s="2" t="s">
        <v>7</v>
      </c>
      <c r="D1828" s="2" t="s">
        <v>8</v>
      </c>
      <c r="E1828" s="2" t="s">
        <v>13</v>
      </c>
      <c r="F1828" s="2" t="s">
        <v>14</v>
      </c>
      <c r="G1828" s="2">
        <v>11</v>
      </c>
      <c r="H1828" s="9">
        <v>58</v>
      </c>
    </row>
    <row r="1829" spans="2:8" x14ac:dyDescent="0.25">
      <c r="B1829" s="3">
        <v>44824</v>
      </c>
      <c r="C1829" s="2" t="s">
        <v>11</v>
      </c>
      <c r="D1829" s="2" t="s">
        <v>12</v>
      </c>
      <c r="E1829" s="2" t="s">
        <v>9</v>
      </c>
      <c r="F1829" s="2" t="s">
        <v>16</v>
      </c>
      <c r="G1829" s="2">
        <v>13</v>
      </c>
      <c r="H1829" s="9">
        <v>41</v>
      </c>
    </row>
    <row r="1830" spans="2:8" x14ac:dyDescent="0.25">
      <c r="B1830" s="3">
        <v>44824</v>
      </c>
      <c r="C1830" s="2" t="s">
        <v>24</v>
      </c>
      <c r="D1830" s="2" t="s">
        <v>18</v>
      </c>
      <c r="E1830" s="2" t="s">
        <v>13</v>
      </c>
      <c r="F1830" s="2" t="s">
        <v>10</v>
      </c>
      <c r="G1830" s="2">
        <v>90</v>
      </c>
      <c r="H1830" s="9">
        <v>106</v>
      </c>
    </row>
    <row r="1831" spans="2:8" x14ac:dyDescent="0.25">
      <c r="B1831" s="3">
        <v>44824</v>
      </c>
      <c r="C1831" s="2" t="s">
        <v>23</v>
      </c>
      <c r="D1831" s="2" t="s">
        <v>18</v>
      </c>
      <c r="E1831" s="2" t="s">
        <v>13</v>
      </c>
      <c r="F1831" s="2" t="s">
        <v>16</v>
      </c>
      <c r="G1831" s="2">
        <v>82</v>
      </c>
      <c r="H1831" s="9">
        <v>144</v>
      </c>
    </row>
    <row r="1832" spans="2:8" x14ac:dyDescent="0.25">
      <c r="B1832" s="3">
        <v>44825</v>
      </c>
      <c r="C1832" s="2" t="s">
        <v>20</v>
      </c>
      <c r="D1832" s="2" t="s">
        <v>8</v>
      </c>
      <c r="E1832" s="2" t="s">
        <v>9</v>
      </c>
      <c r="F1832" s="2" t="s">
        <v>10</v>
      </c>
      <c r="G1832" s="2">
        <v>28</v>
      </c>
      <c r="H1832" s="9">
        <v>121</v>
      </c>
    </row>
    <row r="1833" spans="2:8" x14ac:dyDescent="0.25">
      <c r="B1833" s="3">
        <v>44825</v>
      </c>
      <c r="C1833" s="2" t="s">
        <v>15</v>
      </c>
      <c r="D1833" s="2" t="s">
        <v>8</v>
      </c>
      <c r="E1833" s="2" t="s">
        <v>9</v>
      </c>
      <c r="F1833" s="2" t="s">
        <v>14</v>
      </c>
      <c r="G1833" s="2">
        <v>29</v>
      </c>
      <c r="H1833" s="9">
        <v>69</v>
      </c>
    </row>
    <row r="1834" spans="2:8" x14ac:dyDescent="0.25">
      <c r="B1834" s="3">
        <v>44825</v>
      </c>
      <c r="C1834" s="2" t="s">
        <v>24</v>
      </c>
      <c r="D1834" s="2" t="s">
        <v>18</v>
      </c>
      <c r="E1834" s="2" t="s">
        <v>9</v>
      </c>
      <c r="F1834" s="2" t="s">
        <v>16</v>
      </c>
      <c r="G1834" s="2">
        <v>24</v>
      </c>
      <c r="H1834" s="9">
        <v>117</v>
      </c>
    </row>
    <row r="1835" spans="2:8" x14ac:dyDescent="0.25">
      <c r="B1835" s="3">
        <v>44825</v>
      </c>
      <c r="C1835" s="2" t="s">
        <v>17</v>
      </c>
      <c r="D1835" s="2" t="s">
        <v>18</v>
      </c>
      <c r="E1835" s="2" t="s">
        <v>13</v>
      </c>
      <c r="F1835" s="2" t="s">
        <v>10</v>
      </c>
      <c r="G1835" s="2">
        <v>26</v>
      </c>
      <c r="H1835" s="9">
        <v>121</v>
      </c>
    </row>
    <row r="1836" spans="2:8" x14ac:dyDescent="0.25">
      <c r="B1836" s="3">
        <v>44825</v>
      </c>
      <c r="C1836" s="2" t="s">
        <v>15</v>
      </c>
      <c r="D1836" s="2" t="s">
        <v>8</v>
      </c>
      <c r="E1836" s="2" t="s">
        <v>9</v>
      </c>
      <c r="F1836" s="2" t="s">
        <v>16</v>
      </c>
      <c r="G1836" s="2">
        <v>98</v>
      </c>
      <c r="H1836" s="9">
        <v>66</v>
      </c>
    </row>
    <row r="1837" spans="2:8" x14ac:dyDescent="0.25">
      <c r="B1837" s="3">
        <v>44825</v>
      </c>
      <c r="C1837" s="2" t="s">
        <v>15</v>
      </c>
      <c r="D1837" s="2" t="s">
        <v>8</v>
      </c>
      <c r="E1837" s="2" t="s">
        <v>13</v>
      </c>
      <c r="F1837" s="2" t="s">
        <v>16</v>
      </c>
      <c r="G1837" s="2">
        <v>84</v>
      </c>
      <c r="H1837" s="9">
        <v>24</v>
      </c>
    </row>
    <row r="1838" spans="2:8" x14ac:dyDescent="0.25">
      <c r="B1838" s="3">
        <v>44826</v>
      </c>
      <c r="C1838" s="2" t="s">
        <v>28</v>
      </c>
      <c r="D1838" s="2" t="s">
        <v>8</v>
      </c>
      <c r="E1838" s="2" t="s">
        <v>9</v>
      </c>
      <c r="F1838" s="2" t="s">
        <v>10</v>
      </c>
      <c r="G1838" s="2">
        <v>76</v>
      </c>
      <c r="H1838" s="9">
        <v>85</v>
      </c>
    </row>
    <row r="1839" spans="2:8" x14ac:dyDescent="0.25">
      <c r="B1839" s="3">
        <v>44826</v>
      </c>
      <c r="C1839" s="2" t="s">
        <v>23</v>
      </c>
      <c r="D1839" s="2" t="s">
        <v>18</v>
      </c>
      <c r="E1839" s="2" t="s">
        <v>9</v>
      </c>
      <c r="F1839" s="2" t="s">
        <v>10</v>
      </c>
      <c r="G1839" s="2">
        <v>33</v>
      </c>
      <c r="H1839" s="9">
        <v>52</v>
      </c>
    </row>
    <row r="1840" spans="2:8" x14ac:dyDescent="0.25">
      <c r="B1840" s="3">
        <v>44826</v>
      </c>
      <c r="C1840" s="2" t="s">
        <v>23</v>
      </c>
      <c r="D1840" s="2" t="s">
        <v>18</v>
      </c>
      <c r="E1840" s="2" t="s">
        <v>13</v>
      </c>
      <c r="F1840" s="2" t="s">
        <v>10</v>
      </c>
      <c r="G1840" s="2">
        <v>44</v>
      </c>
      <c r="H1840" s="9">
        <v>99</v>
      </c>
    </row>
    <row r="1841" spans="2:8" x14ac:dyDescent="0.25">
      <c r="B1841" s="3">
        <v>44826</v>
      </c>
      <c r="C1841" s="2" t="s">
        <v>21</v>
      </c>
      <c r="D1841" s="2" t="s">
        <v>8</v>
      </c>
      <c r="E1841" s="2" t="s">
        <v>13</v>
      </c>
      <c r="F1841" s="2" t="s">
        <v>10</v>
      </c>
      <c r="G1841" s="2">
        <v>34</v>
      </c>
      <c r="H1841" s="9">
        <v>149</v>
      </c>
    </row>
    <row r="1842" spans="2:8" x14ac:dyDescent="0.25">
      <c r="B1842" s="3">
        <v>44826</v>
      </c>
      <c r="C1842" s="2" t="s">
        <v>20</v>
      </c>
      <c r="D1842" s="2" t="s">
        <v>8</v>
      </c>
      <c r="E1842" s="2" t="s">
        <v>9</v>
      </c>
      <c r="F1842" s="2" t="s">
        <v>16</v>
      </c>
      <c r="G1842" s="2">
        <v>25</v>
      </c>
      <c r="H1842" s="9">
        <v>86</v>
      </c>
    </row>
    <row r="1843" spans="2:8" x14ac:dyDescent="0.25">
      <c r="B1843" s="3">
        <v>44826</v>
      </c>
      <c r="C1843" s="2" t="s">
        <v>22</v>
      </c>
      <c r="D1843" s="2" t="s">
        <v>12</v>
      </c>
      <c r="E1843" s="2" t="s">
        <v>13</v>
      </c>
      <c r="F1843" s="2" t="s">
        <v>10</v>
      </c>
      <c r="G1843" s="2">
        <v>65</v>
      </c>
      <c r="H1843" s="9">
        <v>99</v>
      </c>
    </row>
    <row r="1844" spans="2:8" x14ac:dyDescent="0.25">
      <c r="B1844" s="3">
        <v>44827</v>
      </c>
      <c r="C1844" s="2" t="s">
        <v>7</v>
      </c>
      <c r="D1844" s="2" t="s">
        <v>8</v>
      </c>
      <c r="E1844" s="2" t="s">
        <v>13</v>
      </c>
      <c r="F1844" s="2" t="s">
        <v>10</v>
      </c>
      <c r="G1844" s="2">
        <v>22</v>
      </c>
      <c r="H1844" s="9">
        <v>102</v>
      </c>
    </row>
    <row r="1845" spans="2:8" x14ac:dyDescent="0.25">
      <c r="B1845" s="3">
        <v>44827</v>
      </c>
      <c r="C1845" s="2" t="s">
        <v>28</v>
      </c>
      <c r="D1845" s="2" t="s">
        <v>8</v>
      </c>
      <c r="E1845" s="2" t="s">
        <v>9</v>
      </c>
      <c r="F1845" s="2" t="s">
        <v>14</v>
      </c>
      <c r="G1845" s="2">
        <v>22</v>
      </c>
      <c r="H1845" s="9">
        <v>117</v>
      </c>
    </row>
    <row r="1846" spans="2:8" x14ac:dyDescent="0.25">
      <c r="B1846" s="3">
        <v>44827</v>
      </c>
      <c r="C1846" s="2" t="s">
        <v>20</v>
      </c>
      <c r="D1846" s="2" t="s">
        <v>8</v>
      </c>
      <c r="E1846" s="2" t="s">
        <v>9</v>
      </c>
      <c r="F1846" s="2" t="s">
        <v>14</v>
      </c>
      <c r="G1846" s="2">
        <v>73</v>
      </c>
      <c r="H1846" s="9">
        <v>35</v>
      </c>
    </row>
    <row r="1847" spans="2:8" x14ac:dyDescent="0.25">
      <c r="B1847" s="3">
        <v>44827</v>
      </c>
      <c r="C1847" s="2" t="s">
        <v>21</v>
      </c>
      <c r="D1847" s="2" t="s">
        <v>8</v>
      </c>
      <c r="E1847" s="2" t="s">
        <v>13</v>
      </c>
      <c r="F1847" s="2" t="s">
        <v>10</v>
      </c>
      <c r="G1847" s="2">
        <v>79</v>
      </c>
      <c r="H1847" s="9">
        <v>97</v>
      </c>
    </row>
    <row r="1848" spans="2:8" x14ac:dyDescent="0.25">
      <c r="B1848" s="3">
        <v>44827</v>
      </c>
      <c r="C1848" s="2" t="s">
        <v>11</v>
      </c>
      <c r="D1848" s="2" t="s">
        <v>12</v>
      </c>
      <c r="E1848" s="2" t="s">
        <v>13</v>
      </c>
      <c r="F1848" s="2" t="s">
        <v>10</v>
      </c>
      <c r="G1848" s="2">
        <v>73</v>
      </c>
      <c r="H1848" s="9">
        <v>121</v>
      </c>
    </row>
    <row r="1849" spans="2:8" x14ac:dyDescent="0.25">
      <c r="B1849" s="3">
        <v>44827</v>
      </c>
      <c r="C1849" s="2" t="s">
        <v>24</v>
      </c>
      <c r="D1849" s="2" t="s">
        <v>18</v>
      </c>
      <c r="E1849" s="2" t="s">
        <v>13</v>
      </c>
      <c r="F1849" s="2" t="s">
        <v>16</v>
      </c>
      <c r="G1849" s="2">
        <v>89</v>
      </c>
      <c r="H1849" s="9">
        <v>99</v>
      </c>
    </row>
    <row r="1850" spans="2:8" x14ac:dyDescent="0.25">
      <c r="B1850" s="3">
        <v>44827</v>
      </c>
      <c r="C1850" s="2" t="s">
        <v>11</v>
      </c>
      <c r="D1850" s="2" t="s">
        <v>12</v>
      </c>
      <c r="E1850" s="2" t="s">
        <v>13</v>
      </c>
      <c r="F1850" s="2" t="s">
        <v>14</v>
      </c>
      <c r="G1850" s="2">
        <v>83</v>
      </c>
      <c r="H1850" s="9">
        <v>131</v>
      </c>
    </row>
    <row r="1851" spans="2:8" x14ac:dyDescent="0.25">
      <c r="B1851" s="3">
        <v>44827</v>
      </c>
      <c r="C1851" s="2" t="s">
        <v>15</v>
      </c>
      <c r="D1851" s="2" t="s">
        <v>8</v>
      </c>
      <c r="E1851" s="2" t="s">
        <v>9</v>
      </c>
      <c r="F1851" s="2" t="s">
        <v>10</v>
      </c>
      <c r="G1851" s="2">
        <v>68</v>
      </c>
      <c r="H1851" s="9">
        <v>35</v>
      </c>
    </row>
    <row r="1852" spans="2:8" x14ac:dyDescent="0.25">
      <c r="B1852" s="3">
        <v>44828</v>
      </c>
      <c r="C1852" s="2" t="s">
        <v>11</v>
      </c>
      <c r="D1852" s="2" t="s">
        <v>12</v>
      </c>
      <c r="E1852" s="2" t="s">
        <v>13</v>
      </c>
      <c r="F1852" s="2" t="s">
        <v>14</v>
      </c>
      <c r="G1852" s="2">
        <v>21</v>
      </c>
      <c r="H1852" s="9">
        <v>28</v>
      </c>
    </row>
    <row r="1853" spans="2:8" x14ac:dyDescent="0.25">
      <c r="B1853" s="3">
        <v>44828</v>
      </c>
      <c r="C1853" s="2" t="s">
        <v>22</v>
      </c>
      <c r="D1853" s="2" t="s">
        <v>12</v>
      </c>
      <c r="E1853" s="2" t="s">
        <v>9</v>
      </c>
      <c r="F1853" s="2" t="s">
        <v>14</v>
      </c>
      <c r="G1853" s="2">
        <v>87</v>
      </c>
      <c r="H1853" s="9">
        <v>65</v>
      </c>
    </row>
    <row r="1854" spans="2:8" x14ac:dyDescent="0.25">
      <c r="B1854" s="3">
        <v>44828</v>
      </c>
      <c r="C1854" s="2" t="s">
        <v>26</v>
      </c>
      <c r="D1854" s="2" t="s">
        <v>12</v>
      </c>
      <c r="E1854" s="2" t="s">
        <v>13</v>
      </c>
      <c r="F1854" s="2" t="s">
        <v>10</v>
      </c>
      <c r="G1854" s="2">
        <v>25</v>
      </c>
      <c r="H1854" s="9">
        <v>52</v>
      </c>
    </row>
    <row r="1855" spans="2:8" x14ac:dyDescent="0.25">
      <c r="B1855" s="3">
        <v>44828</v>
      </c>
      <c r="C1855" s="2" t="s">
        <v>21</v>
      </c>
      <c r="D1855" s="2" t="s">
        <v>8</v>
      </c>
      <c r="E1855" s="2" t="s">
        <v>13</v>
      </c>
      <c r="F1855" s="2" t="s">
        <v>16</v>
      </c>
      <c r="G1855" s="2">
        <v>29</v>
      </c>
      <c r="H1855" s="9">
        <v>101</v>
      </c>
    </row>
    <row r="1856" spans="2:8" x14ac:dyDescent="0.25">
      <c r="B1856" s="3">
        <v>44828</v>
      </c>
      <c r="C1856" s="2" t="s">
        <v>7</v>
      </c>
      <c r="D1856" s="2" t="s">
        <v>8</v>
      </c>
      <c r="E1856" s="2" t="s">
        <v>13</v>
      </c>
      <c r="F1856" s="2" t="s">
        <v>14</v>
      </c>
      <c r="G1856" s="2">
        <v>36</v>
      </c>
      <c r="H1856" s="9">
        <v>97</v>
      </c>
    </row>
    <row r="1857" spans="2:8" x14ac:dyDescent="0.25">
      <c r="B1857" s="3">
        <v>44828</v>
      </c>
      <c r="C1857" s="2" t="s">
        <v>11</v>
      </c>
      <c r="D1857" s="2" t="s">
        <v>12</v>
      </c>
      <c r="E1857" s="2" t="s">
        <v>13</v>
      </c>
      <c r="F1857" s="2" t="s">
        <v>10</v>
      </c>
      <c r="G1857" s="2">
        <v>66</v>
      </c>
      <c r="H1857" s="9">
        <v>29</v>
      </c>
    </row>
    <row r="1858" spans="2:8" x14ac:dyDescent="0.25">
      <c r="B1858" s="3">
        <v>44828</v>
      </c>
      <c r="C1858" s="2" t="s">
        <v>20</v>
      </c>
      <c r="D1858" s="2" t="s">
        <v>8</v>
      </c>
      <c r="E1858" s="2" t="s">
        <v>13</v>
      </c>
      <c r="F1858" s="2" t="s">
        <v>14</v>
      </c>
      <c r="G1858" s="2">
        <v>53</v>
      </c>
      <c r="H1858" s="9">
        <v>148</v>
      </c>
    </row>
    <row r="1859" spans="2:8" x14ac:dyDescent="0.25">
      <c r="B1859" s="3">
        <v>44828</v>
      </c>
      <c r="C1859" s="2" t="s">
        <v>27</v>
      </c>
      <c r="D1859" s="2" t="s">
        <v>18</v>
      </c>
      <c r="E1859" s="2" t="s">
        <v>9</v>
      </c>
      <c r="F1859" s="2" t="s">
        <v>16</v>
      </c>
      <c r="G1859" s="2">
        <v>61</v>
      </c>
      <c r="H1859" s="9">
        <v>86</v>
      </c>
    </row>
    <row r="1860" spans="2:8" x14ac:dyDescent="0.25">
      <c r="B1860" s="3">
        <v>44828</v>
      </c>
      <c r="C1860" s="2" t="s">
        <v>25</v>
      </c>
      <c r="D1860" s="2" t="s">
        <v>12</v>
      </c>
      <c r="E1860" s="2" t="s">
        <v>9</v>
      </c>
      <c r="F1860" s="2" t="s">
        <v>16</v>
      </c>
      <c r="G1860" s="2">
        <v>53</v>
      </c>
      <c r="H1860" s="9">
        <v>129</v>
      </c>
    </row>
    <row r="1861" spans="2:8" x14ac:dyDescent="0.25">
      <c r="B1861" s="3">
        <v>44828</v>
      </c>
      <c r="C1861" s="2" t="s">
        <v>11</v>
      </c>
      <c r="D1861" s="2" t="s">
        <v>12</v>
      </c>
      <c r="E1861" s="2" t="s">
        <v>9</v>
      </c>
      <c r="F1861" s="2" t="s">
        <v>10</v>
      </c>
      <c r="G1861" s="2">
        <v>97</v>
      </c>
      <c r="H1861" s="9">
        <v>119</v>
      </c>
    </row>
    <row r="1862" spans="2:8" x14ac:dyDescent="0.25">
      <c r="B1862" s="3">
        <v>44828</v>
      </c>
      <c r="C1862" s="2" t="s">
        <v>25</v>
      </c>
      <c r="D1862" s="2" t="s">
        <v>12</v>
      </c>
      <c r="E1862" s="2" t="s">
        <v>9</v>
      </c>
      <c r="F1862" s="2" t="s">
        <v>16</v>
      </c>
      <c r="G1862" s="2">
        <v>59</v>
      </c>
      <c r="H1862" s="9">
        <v>20</v>
      </c>
    </row>
    <row r="1863" spans="2:8" x14ac:dyDescent="0.25">
      <c r="B1863" s="3">
        <v>44828</v>
      </c>
      <c r="C1863" s="2" t="s">
        <v>11</v>
      </c>
      <c r="D1863" s="2" t="s">
        <v>12</v>
      </c>
      <c r="E1863" s="2" t="s">
        <v>13</v>
      </c>
      <c r="F1863" s="2" t="s">
        <v>14</v>
      </c>
      <c r="G1863" s="2">
        <v>36</v>
      </c>
      <c r="H1863" s="9">
        <v>126</v>
      </c>
    </row>
    <row r="1864" spans="2:8" x14ac:dyDescent="0.25">
      <c r="B1864" s="3">
        <v>44828</v>
      </c>
      <c r="C1864" s="2" t="s">
        <v>15</v>
      </c>
      <c r="D1864" s="2" t="s">
        <v>8</v>
      </c>
      <c r="E1864" s="2" t="s">
        <v>13</v>
      </c>
      <c r="F1864" s="2" t="s">
        <v>10</v>
      </c>
      <c r="G1864" s="2">
        <v>87</v>
      </c>
      <c r="H1864" s="9">
        <v>102</v>
      </c>
    </row>
    <row r="1865" spans="2:8" x14ac:dyDescent="0.25">
      <c r="B1865" s="3">
        <v>44828</v>
      </c>
      <c r="C1865" s="2" t="s">
        <v>17</v>
      </c>
      <c r="D1865" s="2" t="s">
        <v>18</v>
      </c>
      <c r="E1865" s="2" t="s">
        <v>9</v>
      </c>
      <c r="F1865" s="2" t="s">
        <v>10</v>
      </c>
      <c r="G1865" s="2">
        <v>99</v>
      </c>
      <c r="H1865" s="9">
        <v>120</v>
      </c>
    </row>
    <row r="1866" spans="2:8" x14ac:dyDescent="0.25">
      <c r="B1866" s="3">
        <v>44828</v>
      </c>
      <c r="C1866" s="2" t="s">
        <v>25</v>
      </c>
      <c r="D1866" s="2" t="s">
        <v>12</v>
      </c>
      <c r="E1866" s="2" t="s">
        <v>9</v>
      </c>
      <c r="F1866" s="2" t="s">
        <v>14</v>
      </c>
      <c r="G1866" s="2">
        <v>44</v>
      </c>
      <c r="H1866" s="9">
        <v>48</v>
      </c>
    </row>
    <row r="1867" spans="2:8" x14ac:dyDescent="0.25">
      <c r="B1867" s="3">
        <v>44829</v>
      </c>
      <c r="C1867" s="2" t="s">
        <v>24</v>
      </c>
      <c r="D1867" s="2" t="s">
        <v>18</v>
      </c>
      <c r="E1867" s="2" t="s">
        <v>13</v>
      </c>
      <c r="F1867" s="2" t="s">
        <v>10</v>
      </c>
      <c r="G1867" s="2">
        <v>54</v>
      </c>
      <c r="H1867" s="9">
        <v>79</v>
      </c>
    </row>
    <row r="1868" spans="2:8" x14ac:dyDescent="0.25">
      <c r="B1868" s="3">
        <v>44829</v>
      </c>
      <c r="C1868" s="2" t="s">
        <v>11</v>
      </c>
      <c r="D1868" s="2" t="s">
        <v>12</v>
      </c>
      <c r="E1868" s="2" t="s">
        <v>9</v>
      </c>
      <c r="F1868" s="2" t="s">
        <v>10</v>
      </c>
      <c r="G1868" s="2">
        <v>11</v>
      </c>
      <c r="H1868" s="9">
        <v>63</v>
      </c>
    </row>
    <row r="1869" spans="2:8" x14ac:dyDescent="0.25">
      <c r="B1869" s="3">
        <v>44829</v>
      </c>
      <c r="C1869" s="2" t="s">
        <v>19</v>
      </c>
      <c r="D1869" s="2" t="s">
        <v>12</v>
      </c>
      <c r="E1869" s="2" t="s">
        <v>9</v>
      </c>
      <c r="F1869" s="2" t="s">
        <v>16</v>
      </c>
      <c r="G1869" s="2">
        <v>39</v>
      </c>
      <c r="H1869" s="9">
        <v>80</v>
      </c>
    </row>
    <row r="1870" spans="2:8" x14ac:dyDescent="0.25">
      <c r="B1870" s="3">
        <v>44829</v>
      </c>
      <c r="C1870" s="2" t="s">
        <v>22</v>
      </c>
      <c r="D1870" s="2" t="s">
        <v>12</v>
      </c>
      <c r="E1870" s="2" t="s">
        <v>9</v>
      </c>
      <c r="F1870" s="2" t="s">
        <v>10</v>
      </c>
      <c r="G1870" s="2">
        <v>56</v>
      </c>
      <c r="H1870" s="9">
        <v>94</v>
      </c>
    </row>
    <row r="1871" spans="2:8" x14ac:dyDescent="0.25">
      <c r="B1871" s="3">
        <v>44829</v>
      </c>
      <c r="C1871" s="2" t="s">
        <v>19</v>
      </c>
      <c r="D1871" s="2" t="s">
        <v>12</v>
      </c>
      <c r="E1871" s="2" t="s">
        <v>13</v>
      </c>
      <c r="F1871" s="2" t="s">
        <v>10</v>
      </c>
      <c r="G1871" s="2">
        <v>64</v>
      </c>
      <c r="H1871" s="9">
        <v>68</v>
      </c>
    </row>
    <row r="1872" spans="2:8" x14ac:dyDescent="0.25">
      <c r="B1872" s="3">
        <v>44829</v>
      </c>
      <c r="C1872" s="2" t="s">
        <v>24</v>
      </c>
      <c r="D1872" s="2" t="s">
        <v>18</v>
      </c>
      <c r="E1872" s="2" t="s">
        <v>13</v>
      </c>
      <c r="F1872" s="2" t="s">
        <v>16</v>
      </c>
      <c r="G1872" s="2">
        <v>47</v>
      </c>
      <c r="H1872" s="9">
        <v>137</v>
      </c>
    </row>
    <row r="1873" spans="2:8" x14ac:dyDescent="0.25">
      <c r="B1873" s="3">
        <v>44829</v>
      </c>
      <c r="C1873" s="2" t="s">
        <v>25</v>
      </c>
      <c r="D1873" s="2" t="s">
        <v>12</v>
      </c>
      <c r="E1873" s="2" t="s">
        <v>9</v>
      </c>
      <c r="F1873" s="2" t="s">
        <v>14</v>
      </c>
      <c r="G1873" s="2">
        <v>90</v>
      </c>
      <c r="H1873" s="9">
        <v>150</v>
      </c>
    </row>
    <row r="1874" spans="2:8" x14ac:dyDescent="0.25">
      <c r="B1874" s="3">
        <v>44830</v>
      </c>
      <c r="C1874" s="2" t="s">
        <v>22</v>
      </c>
      <c r="D1874" s="2" t="s">
        <v>12</v>
      </c>
      <c r="E1874" s="2" t="s">
        <v>13</v>
      </c>
      <c r="F1874" s="2" t="s">
        <v>16</v>
      </c>
      <c r="G1874" s="2">
        <v>52</v>
      </c>
      <c r="H1874" s="9">
        <v>41</v>
      </c>
    </row>
    <row r="1875" spans="2:8" x14ac:dyDescent="0.25">
      <c r="B1875" s="3">
        <v>44830</v>
      </c>
      <c r="C1875" s="2" t="s">
        <v>22</v>
      </c>
      <c r="D1875" s="2" t="s">
        <v>12</v>
      </c>
      <c r="E1875" s="2" t="s">
        <v>9</v>
      </c>
      <c r="F1875" s="2" t="s">
        <v>14</v>
      </c>
      <c r="G1875" s="2">
        <v>83</v>
      </c>
      <c r="H1875" s="9">
        <v>141</v>
      </c>
    </row>
    <row r="1876" spans="2:8" x14ac:dyDescent="0.25">
      <c r="B1876" s="3">
        <v>44830</v>
      </c>
      <c r="C1876" s="2" t="s">
        <v>20</v>
      </c>
      <c r="D1876" s="2" t="s">
        <v>8</v>
      </c>
      <c r="E1876" s="2" t="s">
        <v>9</v>
      </c>
      <c r="F1876" s="2" t="s">
        <v>10</v>
      </c>
      <c r="G1876" s="2">
        <v>53</v>
      </c>
      <c r="H1876" s="9">
        <v>58</v>
      </c>
    </row>
    <row r="1877" spans="2:8" x14ac:dyDescent="0.25">
      <c r="B1877" s="3">
        <v>44831</v>
      </c>
      <c r="C1877" s="2" t="s">
        <v>21</v>
      </c>
      <c r="D1877" s="2" t="s">
        <v>8</v>
      </c>
      <c r="E1877" s="2" t="s">
        <v>13</v>
      </c>
      <c r="F1877" s="2" t="s">
        <v>10</v>
      </c>
      <c r="G1877" s="2">
        <v>33</v>
      </c>
      <c r="H1877" s="9">
        <v>112</v>
      </c>
    </row>
    <row r="1878" spans="2:8" x14ac:dyDescent="0.25">
      <c r="B1878" s="3">
        <v>44831</v>
      </c>
      <c r="C1878" s="2" t="s">
        <v>17</v>
      </c>
      <c r="D1878" s="2" t="s">
        <v>18</v>
      </c>
      <c r="E1878" s="2" t="s">
        <v>13</v>
      </c>
      <c r="F1878" s="2" t="s">
        <v>14</v>
      </c>
      <c r="G1878" s="2">
        <v>85</v>
      </c>
      <c r="H1878" s="9">
        <v>32</v>
      </c>
    </row>
    <row r="1879" spans="2:8" x14ac:dyDescent="0.25">
      <c r="B1879" s="3">
        <v>44831</v>
      </c>
      <c r="C1879" s="2" t="s">
        <v>21</v>
      </c>
      <c r="D1879" s="2" t="s">
        <v>8</v>
      </c>
      <c r="E1879" s="2" t="s">
        <v>13</v>
      </c>
      <c r="F1879" s="2" t="s">
        <v>16</v>
      </c>
      <c r="G1879" s="2">
        <v>57</v>
      </c>
      <c r="H1879" s="9">
        <v>64</v>
      </c>
    </row>
    <row r="1880" spans="2:8" x14ac:dyDescent="0.25">
      <c r="B1880" s="3">
        <v>44831</v>
      </c>
      <c r="C1880" s="2" t="s">
        <v>22</v>
      </c>
      <c r="D1880" s="2" t="s">
        <v>12</v>
      </c>
      <c r="E1880" s="2" t="s">
        <v>9</v>
      </c>
      <c r="F1880" s="2" t="s">
        <v>10</v>
      </c>
      <c r="G1880" s="2">
        <v>56</v>
      </c>
      <c r="H1880" s="9">
        <v>140</v>
      </c>
    </row>
    <row r="1881" spans="2:8" x14ac:dyDescent="0.25">
      <c r="B1881" s="3">
        <v>44831</v>
      </c>
      <c r="C1881" s="2" t="s">
        <v>25</v>
      </c>
      <c r="D1881" s="2" t="s">
        <v>12</v>
      </c>
      <c r="E1881" s="2" t="s">
        <v>9</v>
      </c>
      <c r="F1881" s="2" t="s">
        <v>10</v>
      </c>
      <c r="G1881" s="2">
        <v>54</v>
      </c>
      <c r="H1881" s="9">
        <v>111</v>
      </c>
    </row>
    <row r="1882" spans="2:8" x14ac:dyDescent="0.25">
      <c r="B1882" s="3">
        <v>44831</v>
      </c>
      <c r="C1882" s="2" t="s">
        <v>7</v>
      </c>
      <c r="D1882" s="2" t="s">
        <v>8</v>
      </c>
      <c r="E1882" s="2" t="s">
        <v>13</v>
      </c>
      <c r="F1882" s="2" t="s">
        <v>16</v>
      </c>
      <c r="G1882" s="2">
        <v>76</v>
      </c>
      <c r="H1882" s="9">
        <v>30</v>
      </c>
    </row>
    <row r="1883" spans="2:8" x14ac:dyDescent="0.25">
      <c r="B1883" s="3">
        <v>44831</v>
      </c>
      <c r="C1883" s="2" t="s">
        <v>24</v>
      </c>
      <c r="D1883" s="2" t="s">
        <v>18</v>
      </c>
      <c r="E1883" s="2" t="s">
        <v>9</v>
      </c>
      <c r="F1883" s="2" t="s">
        <v>10</v>
      </c>
      <c r="G1883" s="2">
        <v>82</v>
      </c>
      <c r="H1883" s="9">
        <v>89</v>
      </c>
    </row>
    <row r="1884" spans="2:8" x14ac:dyDescent="0.25">
      <c r="B1884" s="3">
        <v>44831</v>
      </c>
      <c r="C1884" s="2" t="s">
        <v>25</v>
      </c>
      <c r="D1884" s="2" t="s">
        <v>12</v>
      </c>
      <c r="E1884" s="2" t="s">
        <v>13</v>
      </c>
      <c r="F1884" s="2" t="s">
        <v>10</v>
      </c>
      <c r="G1884" s="2">
        <v>65</v>
      </c>
      <c r="H1884" s="9">
        <v>94</v>
      </c>
    </row>
    <row r="1885" spans="2:8" x14ac:dyDescent="0.25">
      <c r="B1885" s="3">
        <v>44831</v>
      </c>
      <c r="C1885" s="2" t="s">
        <v>27</v>
      </c>
      <c r="D1885" s="2" t="s">
        <v>18</v>
      </c>
      <c r="E1885" s="2" t="s">
        <v>9</v>
      </c>
      <c r="F1885" s="2" t="s">
        <v>16</v>
      </c>
      <c r="G1885" s="2">
        <v>24</v>
      </c>
      <c r="H1885" s="9">
        <v>82</v>
      </c>
    </row>
    <row r="1886" spans="2:8" x14ac:dyDescent="0.25">
      <c r="B1886" s="3">
        <v>44831</v>
      </c>
      <c r="C1886" s="2" t="s">
        <v>15</v>
      </c>
      <c r="D1886" s="2" t="s">
        <v>8</v>
      </c>
      <c r="E1886" s="2" t="s">
        <v>9</v>
      </c>
      <c r="F1886" s="2" t="s">
        <v>16</v>
      </c>
      <c r="G1886" s="2">
        <v>81</v>
      </c>
      <c r="H1886" s="9">
        <v>90</v>
      </c>
    </row>
    <row r="1887" spans="2:8" x14ac:dyDescent="0.25">
      <c r="B1887" s="3">
        <v>44831</v>
      </c>
      <c r="C1887" s="2" t="s">
        <v>23</v>
      </c>
      <c r="D1887" s="2" t="s">
        <v>18</v>
      </c>
      <c r="E1887" s="2" t="s">
        <v>9</v>
      </c>
      <c r="F1887" s="2" t="s">
        <v>14</v>
      </c>
      <c r="G1887" s="2">
        <v>98</v>
      </c>
      <c r="H1887" s="9">
        <v>37</v>
      </c>
    </row>
    <row r="1888" spans="2:8" x14ac:dyDescent="0.25">
      <c r="B1888" s="3">
        <v>44831</v>
      </c>
      <c r="C1888" s="2" t="s">
        <v>11</v>
      </c>
      <c r="D1888" s="2" t="s">
        <v>12</v>
      </c>
      <c r="E1888" s="2" t="s">
        <v>13</v>
      </c>
      <c r="F1888" s="2" t="s">
        <v>14</v>
      </c>
      <c r="G1888" s="2">
        <v>45</v>
      </c>
      <c r="H1888" s="9">
        <v>141</v>
      </c>
    </row>
    <row r="1889" spans="2:8" x14ac:dyDescent="0.25">
      <c r="B1889" s="3">
        <v>44832</v>
      </c>
      <c r="C1889" s="2" t="s">
        <v>7</v>
      </c>
      <c r="D1889" s="2" t="s">
        <v>8</v>
      </c>
      <c r="E1889" s="2" t="s">
        <v>9</v>
      </c>
      <c r="F1889" s="2" t="s">
        <v>16</v>
      </c>
      <c r="G1889" s="2">
        <v>33</v>
      </c>
      <c r="H1889" s="9">
        <v>74</v>
      </c>
    </row>
    <row r="1890" spans="2:8" x14ac:dyDescent="0.25">
      <c r="B1890" s="3">
        <v>44832</v>
      </c>
      <c r="C1890" s="2" t="s">
        <v>17</v>
      </c>
      <c r="D1890" s="2" t="s">
        <v>18</v>
      </c>
      <c r="E1890" s="2" t="s">
        <v>9</v>
      </c>
      <c r="F1890" s="2" t="s">
        <v>16</v>
      </c>
      <c r="G1890" s="2">
        <v>19</v>
      </c>
      <c r="H1890" s="9">
        <v>44</v>
      </c>
    </row>
    <row r="1891" spans="2:8" x14ac:dyDescent="0.25">
      <c r="B1891" s="3">
        <v>44832</v>
      </c>
      <c r="C1891" s="2" t="s">
        <v>29</v>
      </c>
      <c r="D1891" s="2" t="s">
        <v>18</v>
      </c>
      <c r="E1891" s="2" t="s">
        <v>13</v>
      </c>
      <c r="F1891" s="2" t="s">
        <v>10</v>
      </c>
      <c r="G1891" s="2">
        <v>82</v>
      </c>
      <c r="H1891" s="9">
        <v>58</v>
      </c>
    </row>
    <row r="1892" spans="2:8" x14ac:dyDescent="0.25">
      <c r="B1892" s="3">
        <v>44832</v>
      </c>
      <c r="C1892" s="2" t="s">
        <v>7</v>
      </c>
      <c r="D1892" s="2" t="s">
        <v>8</v>
      </c>
      <c r="E1892" s="2" t="s">
        <v>13</v>
      </c>
      <c r="F1892" s="2" t="s">
        <v>14</v>
      </c>
      <c r="G1892" s="2">
        <v>11</v>
      </c>
      <c r="H1892" s="9">
        <v>52</v>
      </c>
    </row>
    <row r="1893" spans="2:8" x14ac:dyDescent="0.25">
      <c r="B1893" s="3">
        <v>44832</v>
      </c>
      <c r="C1893" s="2" t="s">
        <v>28</v>
      </c>
      <c r="D1893" s="2" t="s">
        <v>8</v>
      </c>
      <c r="E1893" s="2" t="s">
        <v>13</v>
      </c>
      <c r="F1893" s="2" t="s">
        <v>14</v>
      </c>
      <c r="G1893" s="2">
        <v>74</v>
      </c>
      <c r="H1893" s="9">
        <v>150</v>
      </c>
    </row>
    <row r="1894" spans="2:8" x14ac:dyDescent="0.25">
      <c r="B1894" s="3">
        <v>44832</v>
      </c>
      <c r="C1894" s="2" t="s">
        <v>21</v>
      </c>
      <c r="D1894" s="2" t="s">
        <v>8</v>
      </c>
      <c r="E1894" s="2" t="s">
        <v>13</v>
      </c>
      <c r="F1894" s="2" t="s">
        <v>14</v>
      </c>
      <c r="G1894" s="2">
        <v>53</v>
      </c>
      <c r="H1894" s="9">
        <v>55</v>
      </c>
    </row>
    <row r="1895" spans="2:8" x14ac:dyDescent="0.25">
      <c r="B1895" s="3">
        <v>44832</v>
      </c>
      <c r="C1895" s="2" t="s">
        <v>7</v>
      </c>
      <c r="D1895" s="2" t="s">
        <v>8</v>
      </c>
      <c r="E1895" s="2" t="s">
        <v>9</v>
      </c>
      <c r="F1895" s="2" t="s">
        <v>16</v>
      </c>
      <c r="G1895" s="2">
        <v>87</v>
      </c>
      <c r="H1895" s="9">
        <v>20</v>
      </c>
    </row>
    <row r="1896" spans="2:8" x14ac:dyDescent="0.25">
      <c r="B1896" s="3">
        <v>44832</v>
      </c>
      <c r="C1896" s="2" t="s">
        <v>28</v>
      </c>
      <c r="D1896" s="2" t="s">
        <v>8</v>
      </c>
      <c r="E1896" s="2" t="s">
        <v>9</v>
      </c>
      <c r="F1896" s="2" t="s">
        <v>14</v>
      </c>
      <c r="G1896" s="2">
        <v>58</v>
      </c>
      <c r="H1896" s="9">
        <v>86</v>
      </c>
    </row>
    <row r="1897" spans="2:8" x14ac:dyDescent="0.25">
      <c r="B1897" s="3">
        <v>44832</v>
      </c>
      <c r="C1897" s="2" t="s">
        <v>15</v>
      </c>
      <c r="D1897" s="2" t="s">
        <v>8</v>
      </c>
      <c r="E1897" s="2" t="s">
        <v>9</v>
      </c>
      <c r="F1897" s="2" t="s">
        <v>16</v>
      </c>
      <c r="G1897" s="2">
        <v>86</v>
      </c>
      <c r="H1897" s="9">
        <v>143</v>
      </c>
    </row>
    <row r="1898" spans="2:8" x14ac:dyDescent="0.25">
      <c r="B1898" s="3">
        <v>44832</v>
      </c>
      <c r="C1898" s="2" t="s">
        <v>21</v>
      </c>
      <c r="D1898" s="2" t="s">
        <v>8</v>
      </c>
      <c r="E1898" s="2" t="s">
        <v>13</v>
      </c>
      <c r="F1898" s="2" t="s">
        <v>10</v>
      </c>
      <c r="G1898" s="2">
        <v>99</v>
      </c>
      <c r="H1898" s="9">
        <v>75</v>
      </c>
    </row>
    <row r="1899" spans="2:8" x14ac:dyDescent="0.25">
      <c r="B1899" s="3">
        <v>44832</v>
      </c>
      <c r="C1899" s="2" t="s">
        <v>7</v>
      </c>
      <c r="D1899" s="2" t="s">
        <v>8</v>
      </c>
      <c r="E1899" s="2" t="s">
        <v>13</v>
      </c>
      <c r="F1899" s="2" t="s">
        <v>10</v>
      </c>
      <c r="G1899" s="2">
        <v>88</v>
      </c>
      <c r="H1899" s="9">
        <v>93</v>
      </c>
    </row>
    <row r="1900" spans="2:8" x14ac:dyDescent="0.25">
      <c r="B1900" s="3">
        <v>44833</v>
      </c>
      <c r="C1900" s="2" t="s">
        <v>28</v>
      </c>
      <c r="D1900" s="2" t="s">
        <v>8</v>
      </c>
      <c r="E1900" s="2" t="s">
        <v>9</v>
      </c>
      <c r="F1900" s="2" t="s">
        <v>16</v>
      </c>
      <c r="G1900" s="2">
        <v>22</v>
      </c>
      <c r="H1900" s="9">
        <v>147</v>
      </c>
    </row>
    <row r="1901" spans="2:8" x14ac:dyDescent="0.25">
      <c r="B1901" s="3">
        <v>44833</v>
      </c>
      <c r="C1901" s="2" t="s">
        <v>23</v>
      </c>
      <c r="D1901" s="2" t="s">
        <v>18</v>
      </c>
      <c r="E1901" s="2" t="s">
        <v>13</v>
      </c>
      <c r="F1901" s="2" t="s">
        <v>14</v>
      </c>
      <c r="G1901" s="2">
        <v>90</v>
      </c>
      <c r="H1901" s="9">
        <v>98</v>
      </c>
    </row>
    <row r="1902" spans="2:8" x14ac:dyDescent="0.25">
      <c r="B1902" s="3">
        <v>44833</v>
      </c>
      <c r="C1902" s="2" t="s">
        <v>11</v>
      </c>
      <c r="D1902" s="2" t="s">
        <v>12</v>
      </c>
      <c r="E1902" s="2" t="s">
        <v>9</v>
      </c>
      <c r="F1902" s="2" t="s">
        <v>14</v>
      </c>
      <c r="G1902" s="2">
        <v>70</v>
      </c>
      <c r="H1902" s="9">
        <v>38</v>
      </c>
    </row>
    <row r="1903" spans="2:8" x14ac:dyDescent="0.25">
      <c r="B1903" s="3">
        <v>44833</v>
      </c>
      <c r="C1903" s="2" t="s">
        <v>11</v>
      </c>
      <c r="D1903" s="2" t="s">
        <v>12</v>
      </c>
      <c r="E1903" s="2" t="s">
        <v>13</v>
      </c>
      <c r="F1903" s="2" t="s">
        <v>16</v>
      </c>
      <c r="G1903" s="2">
        <v>98</v>
      </c>
      <c r="H1903" s="9">
        <v>108</v>
      </c>
    </row>
    <row r="1904" spans="2:8" x14ac:dyDescent="0.25">
      <c r="B1904" s="3">
        <v>44833</v>
      </c>
      <c r="C1904" s="2" t="s">
        <v>29</v>
      </c>
      <c r="D1904" s="2" t="s">
        <v>18</v>
      </c>
      <c r="E1904" s="2" t="s">
        <v>13</v>
      </c>
      <c r="F1904" s="2" t="s">
        <v>16</v>
      </c>
      <c r="G1904" s="2">
        <v>16</v>
      </c>
      <c r="H1904" s="9">
        <v>124</v>
      </c>
    </row>
    <row r="1905" spans="2:8" x14ac:dyDescent="0.25">
      <c r="B1905" s="3">
        <v>44834</v>
      </c>
      <c r="C1905" s="2" t="s">
        <v>26</v>
      </c>
      <c r="D1905" s="2" t="s">
        <v>12</v>
      </c>
      <c r="E1905" s="2" t="s">
        <v>9</v>
      </c>
      <c r="F1905" s="2" t="s">
        <v>10</v>
      </c>
      <c r="G1905" s="2">
        <v>37</v>
      </c>
      <c r="H1905" s="9">
        <v>112</v>
      </c>
    </row>
    <row r="1906" spans="2:8" x14ac:dyDescent="0.25">
      <c r="B1906" s="3">
        <v>44834</v>
      </c>
      <c r="C1906" s="2" t="s">
        <v>15</v>
      </c>
      <c r="D1906" s="2" t="s">
        <v>8</v>
      </c>
      <c r="E1906" s="2" t="s">
        <v>9</v>
      </c>
      <c r="F1906" s="2" t="s">
        <v>14</v>
      </c>
      <c r="G1906" s="2">
        <v>78</v>
      </c>
      <c r="H1906" s="9">
        <v>121</v>
      </c>
    </row>
    <row r="1907" spans="2:8" x14ac:dyDescent="0.25">
      <c r="B1907" s="3">
        <v>44834</v>
      </c>
      <c r="C1907" s="2" t="s">
        <v>22</v>
      </c>
      <c r="D1907" s="2" t="s">
        <v>12</v>
      </c>
      <c r="E1907" s="2" t="s">
        <v>13</v>
      </c>
      <c r="F1907" s="2" t="s">
        <v>14</v>
      </c>
      <c r="G1907" s="2">
        <v>39</v>
      </c>
      <c r="H1907" s="9">
        <v>45</v>
      </c>
    </row>
    <row r="1908" spans="2:8" x14ac:dyDescent="0.25">
      <c r="B1908" s="4">
        <v>44834</v>
      </c>
      <c r="C1908" s="1" t="s">
        <v>26</v>
      </c>
      <c r="D1908" s="1" t="s">
        <v>12</v>
      </c>
      <c r="E1908" s="1" t="s">
        <v>9</v>
      </c>
      <c r="F1908" s="1" t="s">
        <v>16</v>
      </c>
      <c r="G1908" s="1">
        <v>94</v>
      </c>
      <c r="H1908" s="10">
        <v>76</v>
      </c>
    </row>
    <row r="1909" spans="2:8" x14ac:dyDescent="0.25">
      <c r="B1909" s="3">
        <v>44835</v>
      </c>
      <c r="C1909" s="2" t="s">
        <v>26</v>
      </c>
      <c r="D1909" s="2" t="s">
        <v>12</v>
      </c>
      <c r="E1909" s="2" t="s">
        <v>9</v>
      </c>
      <c r="F1909" s="2" t="s">
        <v>14</v>
      </c>
      <c r="G1909" s="2">
        <v>72</v>
      </c>
      <c r="H1909" s="9">
        <v>104</v>
      </c>
    </row>
    <row r="1910" spans="2:8" x14ac:dyDescent="0.25">
      <c r="B1910" s="3">
        <v>44835</v>
      </c>
      <c r="C1910" s="2" t="s">
        <v>28</v>
      </c>
      <c r="D1910" s="2" t="s">
        <v>8</v>
      </c>
      <c r="E1910" s="2" t="s">
        <v>9</v>
      </c>
      <c r="F1910" s="2" t="s">
        <v>16</v>
      </c>
      <c r="G1910" s="2">
        <v>40</v>
      </c>
      <c r="H1910" s="9">
        <v>105</v>
      </c>
    </row>
    <row r="1911" spans="2:8" x14ac:dyDescent="0.25">
      <c r="B1911" s="3">
        <v>44835</v>
      </c>
      <c r="C1911" s="2" t="s">
        <v>28</v>
      </c>
      <c r="D1911" s="2" t="s">
        <v>8</v>
      </c>
      <c r="E1911" s="2" t="s">
        <v>13</v>
      </c>
      <c r="F1911" s="2" t="s">
        <v>16</v>
      </c>
      <c r="G1911" s="2">
        <v>54</v>
      </c>
      <c r="H1911" s="9">
        <v>24</v>
      </c>
    </row>
    <row r="1912" spans="2:8" x14ac:dyDescent="0.25">
      <c r="B1912" s="3">
        <v>44835</v>
      </c>
      <c r="C1912" s="2" t="s">
        <v>7</v>
      </c>
      <c r="D1912" s="2" t="s">
        <v>8</v>
      </c>
      <c r="E1912" s="2" t="s">
        <v>13</v>
      </c>
      <c r="F1912" s="2" t="s">
        <v>10</v>
      </c>
      <c r="G1912" s="2">
        <v>31</v>
      </c>
      <c r="H1912" s="9">
        <v>25</v>
      </c>
    </row>
    <row r="1913" spans="2:8" x14ac:dyDescent="0.25">
      <c r="B1913" s="3">
        <v>44835</v>
      </c>
      <c r="C1913" s="2" t="s">
        <v>27</v>
      </c>
      <c r="D1913" s="2" t="s">
        <v>18</v>
      </c>
      <c r="E1913" s="2" t="s">
        <v>13</v>
      </c>
      <c r="F1913" s="2" t="s">
        <v>14</v>
      </c>
      <c r="G1913" s="2">
        <v>41</v>
      </c>
      <c r="H1913" s="9">
        <v>113</v>
      </c>
    </row>
    <row r="1914" spans="2:8" x14ac:dyDescent="0.25">
      <c r="B1914" s="3">
        <v>44835</v>
      </c>
      <c r="C1914" s="2" t="s">
        <v>26</v>
      </c>
      <c r="D1914" s="2" t="s">
        <v>12</v>
      </c>
      <c r="E1914" s="2" t="s">
        <v>13</v>
      </c>
      <c r="F1914" s="2" t="s">
        <v>10</v>
      </c>
      <c r="G1914" s="2">
        <v>77</v>
      </c>
      <c r="H1914" s="9">
        <v>48</v>
      </c>
    </row>
    <row r="1915" spans="2:8" x14ac:dyDescent="0.25">
      <c r="B1915" s="3">
        <v>44836</v>
      </c>
      <c r="C1915" s="2" t="s">
        <v>24</v>
      </c>
      <c r="D1915" s="2" t="s">
        <v>18</v>
      </c>
      <c r="E1915" s="2" t="s">
        <v>13</v>
      </c>
      <c r="F1915" s="2" t="s">
        <v>10</v>
      </c>
      <c r="G1915" s="2">
        <v>95</v>
      </c>
      <c r="H1915" s="9">
        <v>45</v>
      </c>
    </row>
    <row r="1916" spans="2:8" x14ac:dyDescent="0.25">
      <c r="B1916" s="3">
        <v>44836</v>
      </c>
      <c r="C1916" s="2" t="s">
        <v>20</v>
      </c>
      <c r="D1916" s="2" t="s">
        <v>8</v>
      </c>
      <c r="E1916" s="2" t="s">
        <v>13</v>
      </c>
      <c r="F1916" s="2" t="s">
        <v>14</v>
      </c>
      <c r="G1916" s="2">
        <v>78</v>
      </c>
      <c r="H1916" s="9">
        <v>139</v>
      </c>
    </row>
    <row r="1917" spans="2:8" x14ac:dyDescent="0.25">
      <c r="B1917" s="3">
        <v>44836</v>
      </c>
      <c r="C1917" s="2" t="s">
        <v>19</v>
      </c>
      <c r="D1917" s="2" t="s">
        <v>12</v>
      </c>
      <c r="E1917" s="2" t="s">
        <v>9</v>
      </c>
      <c r="F1917" s="2" t="s">
        <v>14</v>
      </c>
      <c r="G1917" s="2">
        <v>59</v>
      </c>
      <c r="H1917" s="9">
        <v>50</v>
      </c>
    </row>
    <row r="1918" spans="2:8" x14ac:dyDescent="0.25">
      <c r="B1918" s="3">
        <v>44836</v>
      </c>
      <c r="C1918" s="2" t="s">
        <v>26</v>
      </c>
      <c r="D1918" s="2" t="s">
        <v>12</v>
      </c>
      <c r="E1918" s="2" t="s">
        <v>9</v>
      </c>
      <c r="F1918" s="2" t="s">
        <v>10</v>
      </c>
      <c r="G1918" s="2">
        <v>55</v>
      </c>
      <c r="H1918" s="9">
        <v>66</v>
      </c>
    </row>
    <row r="1919" spans="2:8" x14ac:dyDescent="0.25">
      <c r="B1919" s="3">
        <v>44837</v>
      </c>
      <c r="C1919" s="2" t="s">
        <v>28</v>
      </c>
      <c r="D1919" s="2" t="s">
        <v>8</v>
      </c>
      <c r="E1919" s="2" t="s">
        <v>9</v>
      </c>
      <c r="F1919" s="2" t="s">
        <v>14</v>
      </c>
      <c r="G1919" s="2">
        <v>40</v>
      </c>
      <c r="H1919" s="9">
        <v>43</v>
      </c>
    </row>
    <row r="1920" spans="2:8" x14ac:dyDescent="0.25">
      <c r="B1920" s="3">
        <v>44837</v>
      </c>
      <c r="C1920" s="2" t="s">
        <v>7</v>
      </c>
      <c r="D1920" s="2" t="s">
        <v>8</v>
      </c>
      <c r="E1920" s="2" t="s">
        <v>13</v>
      </c>
      <c r="F1920" s="2" t="s">
        <v>14</v>
      </c>
      <c r="G1920" s="2">
        <v>82</v>
      </c>
      <c r="H1920" s="9">
        <v>83</v>
      </c>
    </row>
    <row r="1921" spans="2:8" x14ac:dyDescent="0.25">
      <c r="B1921" s="3">
        <v>44837</v>
      </c>
      <c r="C1921" s="2" t="s">
        <v>21</v>
      </c>
      <c r="D1921" s="2" t="s">
        <v>8</v>
      </c>
      <c r="E1921" s="2" t="s">
        <v>9</v>
      </c>
      <c r="F1921" s="2" t="s">
        <v>10</v>
      </c>
      <c r="G1921" s="2">
        <v>49</v>
      </c>
      <c r="H1921" s="9">
        <v>119</v>
      </c>
    </row>
    <row r="1922" spans="2:8" x14ac:dyDescent="0.25">
      <c r="B1922" s="3">
        <v>44837</v>
      </c>
      <c r="C1922" s="2" t="s">
        <v>11</v>
      </c>
      <c r="D1922" s="2" t="s">
        <v>12</v>
      </c>
      <c r="E1922" s="2" t="s">
        <v>13</v>
      </c>
      <c r="F1922" s="2" t="s">
        <v>10</v>
      </c>
      <c r="G1922" s="2">
        <v>41</v>
      </c>
      <c r="H1922" s="9">
        <v>138</v>
      </c>
    </row>
    <row r="1923" spans="2:8" x14ac:dyDescent="0.25">
      <c r="B1923" s="3">
        <v>44837</v>
      </c>
      <c r="C1923" s="2" t="s">
        <v>19</v>
      </c>
      <c r="D1923" s="2" t="s">
        <v>12</v>
      </c>
      <c r="E1923" s="2" t="s">
        <v>13</v>
      </c>
      <c r="F1923" s="2" t="s">
        <v>14</v>
      </c>
      <c r="G1923" s="2">
        <v>66</v>
      </c>
      <c r="H1923" s="9">
        <v>61</v>
      </c>
    </row>
    <row r="1924" spans="2:8" x14ac:dyDescent="0.25">
      <c r="B1924" s="3">
        <v>44837</v>
      </c>
      <c r="C1924" s="2" t="s">
        <v>20</v>
      </c>
      <c r="D1924" s="2" t="s">
        <v>8</v>
      </c>
      <c r="E1924" s="2" t="s">
        <v>13</v>
      </c>
      <c r="F1924" s="2" t="s">
        <v>16</v>
      </c>
      <c r="G1924" s="2">
        <v>48</v>
      </c>
      <c r="H1924" s="9">
        <v>28</v>
      </c>
    </row>
    <row r="1925" spans="2:8" x14ac:dyDescent="0.25">
      <c r="B1925" s="3">
        <v>44837</v>
      </c>
      <c r="C1925" s="2" t="s">
        <v>27</v>
      </c>
      <c r="D1925" s="2" t="s">
        <v>18</v>
      </c>
      <c r="E1925" s="2" t="s">
        <v>13</v>
      </c>
      <c r="F1925" s="2" t="s">
        <v>10</v>
      </c>
      <c r="G1925" s="2">
        <v>57</v>
      </c>
      <c r="H1925" s="9">
        <v>21</v>
      </c>
    </row>
    <row r="1926" spans="2:8" x14ac:dyDescent="0.25">
      <c r="B1926" s="3">
        <v>44838</v>
      </c>
      <c r="C1926" s="2" t="s">
        <v>25</v>
      </c>
      <c r="D1926" s="2" t="s">
        <v>12</v>
      </c>
      <c r="E1926" s="2" t="s">
        <v>9</v>
      </c>
      <c r="F1926" s="2" t="s">
        <v>16</v>
      </c>
      <c r="G1926" s="2">
        <v>56</v>
      </c>
      <c r="H1926" s="9">
        <v>64</v>
      </c>
    </row>
    <row r="1927" spans="2:8" x14ac:dyDescent="0.25">
      <c r="B1927" s="3">
        <v>44838</v>
      </c>
      <c r="C1927" s="2" t="s">
        <v>24</v>
      </c>
      <c r="D1927" s="2" t="s">
        <v>18</v>
      </c>
      <c r="E1927" s="2" t="s">
        <v>9</v>
      </c>
      <c r="F1927" s="2" t="s">
        <v>14</v>
      </c>
      <c r="G1927" s="2">
        <v>72</v>
      </c>
      <c r="H1927" s="9">
        <v>88</v>
      </c>
    </row>
    <row r="1928" spans="2:8" x14ac:dyDescent="0.25">
      <c r="B1928" s="3">
        <v>44838</v>
      </c>
      <c r="C1928" s="2" t="s">
        <v>15</v>
      </c>
      <c r="D1928" s="2" t="s">
        <v>8</v>
      </c>
      <c r="E1928" s="2" t="s">
        <v>9</v>
      </c>
      <c r="F1928" s="2" t="s">
        <v>16</v>
      </c>
      <c r="G1928" s="2">
        <v>90</v>
      </c>
      <c r="H1928" s="9">
        <v>33</v>
      </c>
    </row>
    <row r="1929" spans="2:8" x14ac:dyDescent="0.25">
      <c r="B1929" s="3">
        <v>44838</v>
      </c>
      <c r="C1929" s="2" t="s">
        <v>24</v>
      </c>
      <c r="D1929" s="2" t="s">
        <v>18</v>
      </c>
      <c r="E1929" s="2" t="s">
        <v>13</v>
      </c>
      <c r="F1929" s="2" t="s">
        <v>16</v>
      </c>
      <c r="G1929" s="2">
        <v>15</v>
      </c>
      <c r="H1929" s="9">
        <v>30</v>
      </c>
    </row>
    <row r="1930" spans="2:8" x14ac:dyDescent="0.25">
      <c r="B1930" s="3">
        <v>44839</v>
      </c>
      <c r="C1930" s="2" t="s">
        <v>27</v>
      </c>
      <c r="D1930" s="2" t="s">
        <v>18</v>
      </c>
      <c r="E1930" s="2" t="s">
        <v>13</v>
      </c>
      <c r="F1930" s="2" t="s">
        <v>10</v>
      </c>
      <c r="G1930" s="2">
        <v>21</v>
      </c>
      <c r="H1930" s="9">
        <v>44</v>
      </c>
    </row>
    <row r="1931" spans="2:8" x14ac:dyDescent="0.25">
      <c r="B1931" s="3">
        <v>44839</v>
      </c>
      <c r="C1931" s="2" t="s">
        <v>27</v>
      </c>
      <c r="D1931" s="2" t="s">
        <v>18</v>
      </c>
      <c r="E1931" s="2" t="s">
        <v>13</v>
      </c>
      <c r="F1931" s="2" t="s">
        <v>16</v>
      </c>
      <c r="G1931" s="2">
        <v>11</v>
      </c>
      <c r="H1931" s="9">
        <v>105</v>
      </c>
    </row>
    <row r="1932" spans="2:8" x14ac:dyDescent="0.25">
      <c r="B1932" s="3">
        <v>44839</v>
      </c>
      <c r="C1932" s="2" t="s">
        <v>15</v>
      </c>
      <c r="D1932" s="2" t="s">
        <v>8</v>
      </c>
      <c r="E1932" s="2" t="s">
        <v>13</v>
      </c>
      <c r="F1932" s="2" t="s">
        <v>16</v>
      </c>
      <c r="G1932" s="2">
        <v>86</v>
      </c>
      <c r="H1932" s="9">
        <v>48</v>
      </c>
    </row>
    <row r="1933" spans="2:8" x14ac:dyDescent="0.25">
      <c r="B1933" s="3">
        <v>44840</v>
      </c>
      <c r="C1933" s="2" t="s">
        <v>7</v>
      </c>
      <c r="D1933" s="2" t="s">
        <v>8</v>
      </c>
      <c r="E1933" s="2" t="s">
        <v>13</v>
      </c>
      <c r="F1933" s="2" t="s">
        <v>14</v>
      </c>
      <c r="G1933" s="2">
        <v>46</v>
      </c>
      <c r="H1933" s="9">
        <v>36</v>
      </c>
    </row>
    <row r="1934" spans="2:8" x14ac:dyDescent="0.25">
      <c r="B1934" s="3">
        <v>44840</v>
      </c>
      <c r="C1934" s="2" t="s">
        <v>15</v>
      </c>
      <c r="D1934" s="2" t="s">
        <v>8</v>
      </c>
      <c r="E1934" s="2" t="s">
        <v>9</v>
      </c>
      <c r="F1934" s="2" t="s">
        <v>10</v>
      </c>
      <c r="G1934" s="2">
        <v>51</v>
      </c>
      <c r="H1934" s="9">
        <v>102</v>
      </c>
    </row>
    <row r="1935" spans="2:8" x14ac:dyDescent="0.25">
      <c r="B1935" s="3">
        <v>44840</v>
      </c>
      <c r="C1935" s="2" t="s">
        <v>26</v>
      </c>
      <c r="D1935" s="2" t="s">
        <v>12</v>
      </c>
      <c r="E1935" s="2" t="s">
        <v>9</v>
      </c>
      <c r="F1935" s="2" t="s">
        <v>16</v>
      </c>
      <c r="G1935" s="2">
        <v>24</v>
      </c>
      <c r="H1935" s="9">
        <v>40</v>
      </c>
    </row>
    <row r="1936" spans="2:8" x14ac:dyDescent="0.25">
      <c r="B1936" s="3">
        <v>44840</v>
      </c>
      <c r="C1936" s="2" t="s">
        <v>11</v>
      </c>
      <c r="D1936" s="2" t="s">
        <v>12</v>
      </c>
      <c r="E1936" s="2" t="s">
        <v>13</v>
      </c>
      <c r="F1936" s="2" t="s">
        <v>14</v>
      </c>
      <c r="G1936" s="2">
        <v>84</v>
      </c>
      <c r="H1936" s="9">
        <v>140</v>
      </c>
    </row>
    <row r="1937" spans="2:8" x14ac:dyDescent="0.25">
      <c r="B1937" s="3">
        <v>44840</v>
      </c>
      <c r="C1937" s="2" t="s">
        <v>29</v>
      </c>
      <c r="D1937" s="2" t="s">
        <v>18</v>
      </c>
      <c r="E1937" s="2" t="s">
        <v>13</v>
      </c>
      <c r="F1937" s="2" t="s">
        <v>16</v>
      </c>
      <c r="G1937" s="2">
        <v>34</v>
      </c>
      <c r="H1937" s="9">
        <v>20</v>
      </c>
    </row>
    <row r="1938" spans="2:8" x14ac:dyDescent="0.25">
      <c r="B1938" s="3">
        <v>44840</v>
      </c>
      <c r="C1938" s="2" t="s">
        <v>15</v>
      </c>
      <c r="D1938" s="2" t="s">
        <v>8</v>
      </c>
      <c r="E1938" s="2" t="s">
        <v>13</v>
      </c>
      <c r="F1938" s="2" t="s">
        <v>10</v>
      </c>
      <c r="G1938" s="2">
        <v>34</v>
      </c>
      <c r="H1938" s="9">
        <v>105</v>
      </c>
    </row>
    <row r="1939" spans="2:8" x14ac:dyDescent="0.25">
      <c r="B1939" s="3">
        <v>44841</v>
      </c>
      <c r="C1939" s="2" t="s">
        <v>11</v>
      </c>
      <c r="D1939" s="2" t="s">
        <v>12</v>
      </c>
      <c r="E1939" s="2" t="s">
        <v>9</v>
      </c>
      <c r="F1939" s="2" t="s">
        <v>14</v>
      </c>
      <c r="G1939" s="2">
        <v>71</v>
      </c>
      <c r="H1939" s="9">
        <v>117</v>
      </c>
    </row>
    <row r="1940" spans="2:8" x14ac:dyDescent="0.25">
      <c r="B1940" s="3">
        <v>44841</v>
      </c>
      <c r="C1940" s="2" t="s">
        <v>17</v>
      </c>
      <c r="D1940" s="2" t="s">
        <v>18</v>
      </c>
      <c r="E1940" s="2" t="s">
        <v>13</v>
      </c>
      <c r="F1940" s="2" t="s">
        <v>16</v>
      </c>
      <c r="G1940" s="2">
        <v>44</v>
      </c>
      <c r="H1940" s="9">
        <v>84</v>
      </c>
    </row>
    <row r="1941" spans="2:8" x14ac:dyDescent="0.25">
      <c r="B1941" s="3">
        <v>44841</v>
      </c>
      <c r="C1941" s="2" t="s">
        <v>20</v>
      </c>
      <c r="D1941" s="2" t="s">
        <v>8</v>
      </c>
      <c r="E1941" s="2" t="s">
        <v>9</v>
      </c>
      <c r="F1941" s="2" t="s">
        <v>14</v>
      </c>
      <c r="G1941" s="2">
        <v>72</v>
      </c>
      <c r="H1941" s="9">
        <v>99</v>
      </c>
    </row>
    <row r="1942" spans="2:8" x14ac:dyDescent="0.25">
      <c r="B1942" s="3">
        <v>44841</v>
      </c>
      <c r="C1942" s="2" t="s">
        <v>24</v>
      </c>
      <c r="D1942" s="2" t="s">
        <v>18</v>
      </c>
      <c r="E1942" s="2" t="s">
        <v>13</v>
      </c>
      <c r="F1942" s="2" t="s">
        <v>16</v>
      </c>
      <c r="G1942" s="2">
        <v>63</v>
      </c>
      <c r="H1942" s="9">
        <v>62</v>
      </c>
    </row>
    <row r="1943" spans="2:8" x14ac:dyDescent="0.25">
      <c r="B1943" s="3">
        <v>44842</v>
      </c>
      <c r="C1943" s="2" t="s">
        <v>27</v>
      </c>
      <c r="D1943" s="2" t="s">
        <v>18</v>
      </c>
      <c r="E1943" s="2" t="s">
        <v>9</v>
      </c>
      <c r="F1943" s="2" t="s">
        <v>10</v>
      </c>
      <c r="G1943" s="2">
        <v>57</v>
      </c>
      <c r="H1943" s="9">
        <v>69</v>
      </c>
    </row>
    <row r="1944" spans="2:8" x14ac:dyDescent="0.25">
      <c r="B1944" s="3">
        <v>44842</v>
      </c>
      <c r="C1944" s="2" t="s">
        <v>15</v>
      </c>
      <c r="D1944" s="2" t="s">
        <v>8</v>
      </c>
      <c r="E1944" s="2" t="s">
        <v>9</v>
      </c>
      <c r="F1944" s="2" t="s">
        <v>10</v>
      </c>
      <c r="G1944" s="2">
        <v>27</v>
      </c>
      <c r="H1944" s="9">
        <v>108</v>
      </c>
    </row>
    <row r="1945" spans="2:8" x14ac:dyDescent="0.25">
      <c r="B1945" s="3">
        <v>44842</v>
      </c>
      <c r="C1945" s="2" t="s">
        <v>29</v>
      </c>
      <c r="D1945" s="2" t="s">
        <v>18</v>
      </c>
      <c r="E1945" s="2" t="s">
        <v>13</v>
      </c>
      <c r="F1945" s="2" t="s">
        <v>16</v>
      </c>
      <c r="G1945" s="2">
        <v>71</v>
      </c>
      <c r="H1945" s="9">
        <v>34</v>
      </c>
    </row>
    <row r="1946" spans="2:8" x14ac:dyDescent="0.25">
      <c r="B1946" s="3">
        <v>44842</v>
      </c>
      <c r="C1946" s="2" t="s">
        <v>28</v>
      </c>
      <c r="D1946" s="2" t="s">
        <v>8</v>
      </c>
      <c r="E1946" s="2" t="s">
        <v>13</v>
      </c>
      <c r="F1946" s="2" t="s">
        <v>14</v>
      </c>
      <c r="G1946" s="2">
        <v>96</v>
      </c>
      <c r="H1946" s="9">
        <v>60</v>
      </c>
    </row>
    <row r="1947" spans="2:8" x14ac:dyDescent="0.25">
      <c r="B1947" s="3">
        <v>44842</v>
      </c>
      <c r="C1947" s="2" t="s">
        <v>20</v>
      </c>
      <c r="D1947" s="2" t="s">
        <v>8</v>
      </c>
      <c r="E1947" s="2" t="s">
        <v>13</v>
      </c>
      <c r="F1947" s="2" t="s">
        <v>16</v>
      </c>
      <c r="G1947" s="2">
        <v>86</v>
      </c>
      <c r="H1947" s="9">
        <v>32</v>
      </c>
    </row>
    <row r="1948" spans="2:8" x14ac:dyDescent="0.25">
      <c r="B1948" s="3">
        <v>44842</v>
      </c>
      <c r="C1948" s="2" t="s">
        <v>7</v>
      </c>
      <c r="D1948" s="2" t="s">
        <v>8</v>
      </c>
      <c r="E1948" s="2" t="s">
        <v>13</v>
      </c>
      <c r="F1948" s="2" t="s">
        <v>10</v>
      </c>
      <c r="G1948" s="2">
        <v>98</v>
      </c>
      <c r="H1948" s="9">
        <v>100</v>
      </c>
    </row>
    <row r="1949" spans="2:8" x14ac:dyDescent="0.25">
      <c r="B1949" s="3">
        <v>44842</v>
      </c>
      <c r="C1949" s="2" t="s">
        <v>21</v>
      </c>
      <c r="D1949" s="2" t="s">
        <v>8</v>
      </c>
      <c r="E1949" s="2" t="s">
        <v>9</v>
      </c>
      <c r="F1949" s="2" t="s">
        <v>10</v>
      </c>
      <c r="G1949" s="2">
        <v>75</v>
      </c>
      <c r="H1949" s="9">
        <v>110</v>
      </c>
    </row>
    <row r="1950" spans="2:8" x14ac:dyDescent="0.25">
      <c r="B1950" s="3">
        <v>44842</v>
      </c>
      <c r="C1950" s="2" t="s">
        <v>22</v>
      </c>
      <c r="D1950" s="2" t="s">
        <v>12</v>
      </c>
      <c r="E1950" s="2" t="s">
        <v>9</v>
      </c>
      <c r="F1950" s="2" t="s">
        <v>16</v>
      </c>
      <c r="G1950" s="2">
        <v>90</v>
      </c>
      <c r="H1950" s="9">
        <v>58</v>
      </c>
    </row>
    <row r="1951" spans="2:8" x14ac:dyDescent="0.25">
      <c r="B1951" s="3">
        <v>44843</v>
      </c>
      <c r="C1951" s="2" t="s">
        <v>11</v>
      </c>
      <c r="D1951" s="2" t="s">
        <v>12</v>
      </c>
      <c r="E1951" s="2" t="s">
        <v>13</v>
      </c>
      <c r="F1951" s="2" t="s">
        <v>10</v>
      </c>
      <c r="G1951" s="2">
        <v>82</v>
      </c>
      <c r="H1951" s="9">
        <v>25</v>
      </c>
    </row>
    <row r="1952" spans="2:8" x14ac:dyDescent="0.25">
      <c r="B1952" s="3">
        <v>44843</v>
      </c>
      <c r="C1952" s="2" t="s">
        <v>25</v>
      </c>
      <c r="D1952" s="2" t="s">
        <v>12</v>
      </c>
      <c r="E1952" s="2" t="s">
        <v>13</v>
      </c>
      <c r="F1952" s="2" t="s">
        <v>10</v>
      </c>
      <c r="G1952" s="2">
        <v>83</v>
      </c>
      <c r="H1952" s="9">
        <v>82</v>
      </c>
    </row>
    <row r="1953" spans="2:8" x14ac:dyDescent="0.25">
      <c r="B1953" s="3">
        <v>44843</v>
      </c>
      <c r="C1953" s="2" t="s">
        <v>19</v>
      </c>
      <c r="D1953" s="2" t="s">
        <v>12</v>
      </c>
      <c r="E1953" s="2" t="s">
        <v>9</v>
      </c>
      <c r="F1953" s="2" t="s">
        <v>10</v>
      </c>
      <c r="G1953" s="2">
        <v>20</v>
      </c>
      <c r="H1953" s="9">
        <v>110</v>
      </c>
    </row>
    <row r="1954" spans="2:8" x14ac:dyDescent="0.25">
      <c r="B1954" s="3">
        <v>44843</v>
      </c>
      <c r="C1954" s="2" t="s">
        <v>25</v>
      </c>
      <c r="D1954" s="2" t="s">
        <v>12</v>
      </c>
      <c r="E1954" s="2" t="s">
        <v>9</v>
      </c>
      <c r="F1954" s="2" t="s">
        <v>16</v>
      </c>
      <c r="G1954" s="2">
        <v>13</v>
      </c>
      <c r="H1954" s="9">
        <v>96</v>
      </c>
    </row>
    <row r="1955" spans="2:8" x14ac:dyDescent="0.25">
      <c r="B1955" s="3">
        <v>44843</v>
      </c>
      <c r="C1955" s="2" t="s">
        <v>21</v>
      </c>
      <c r="D1955" s="2" t="s">
        <v>8</v>
      </c>
      <c r="E1955" s="2" t="s">
        <v>13</v>
      </c>
      <c r="F1955" s="2" t="s">
        <v>10</v>
      </c>
      <c r="G1955" s="2">
        <v>85</v>
      </c>
      <c r="H1955" s="9">
        <v>75</v>
      </c>
    </row>
    <row r="1956" spans="2:8" x14ac:dyDescent="0.25">
      <c r="B1956" s="3">
        <v>44843</v>
      </c>
      <c r="C1956" s="2" t="s">
        <v>11</v>
      </c>
      <c r="D1956" s="2" t="s">
        <v>12</v>
      </c>
      <c r="E1956" s="2" t="s">
        <v>9</v>
      </c>
      <c r="F1956" s="2" t="s">
        <v>14</v>
      </c>
      <c r="G1956" s="2">
        <v>81</v>
      </c>
      <c r="H1956" s="9">
        <v>126</v>
      </c>
    </row>
    <row r="1957" spans="2:8" x14ac:dyDescent="0.25">
      <c r="B1957" s="3">
        <v>44843</v>
      </c>
      <c r="C1957" s="2" t="s">
        <v>23</v>
      </c>
      <c r="D1957" s="2" t="s">
        <v>18</v>
      </c>
      <c r="E1957" s="2" t="s">
        <v>9</v>
      </c>
      <c r="F1957" s="2" t="s">
        <v>10</v>
      </c>
      <c r="G1957" s="2">
        <v>29</v>
      </c>
      <c r="H1957" s="9">
        <v>52</v>
      </c>
    </row>
    <row r="1958" spans="2:8" x14ac:dyDescent="0.25">
      <c r="B1958" s="3">
        <v>44843</v>
      </c>
      <c r="C1958" s="2" t="s">
        <v>17</v>
      </c>
      <c r="D1958" s="2" t="s">
        <v>18</v>
      </c>
      <c r="E1958" s="2" t="s">
        <v>9</v>
      </c>
      <c r="F1958" s="2" t="s">
        <v>14</v>
      </c>
      <c r="G1958" s="2">
        <v>59</v>
      </c>
      <c r="H1958" s="9">
        <v>74</v>
      </c>
    </row>
    <row r="1959" spans="2:8" x14ac:dyDescent="0.25">
      <c r="B1959" s="3">
        <v>44844</v>
      </c>
      <c r="C1959" s="2" t="s">
        <v>28</v>
      </c>
      <c r="D1959" s="2" t="s">
        <v>8</v>
      </c>
      <c r="E1959" s="2" t="s">
        <v>9</v>
      </c>
      <c r="F1959" s="2" t="s">
        <v>14</v>
      </c>
      <c r="G1959" s="2">
        <v>30</v>
      </c>
      <c r="H1959" s="9">
        <v>32</v>
      </c>
    </row>
    <row r="1960" spans="2:8" x14ac:dyDescent="0.25">
      <c r="B1960" s="3">
        <v>44844</v>
      </c>
      <c r="C1960" s="2" t="s">
        <v>28</v>
      </c>
      <c r="D1960" s="2" t="s">
        <v>8</v>
      </c>
      <c r="E1960" s="2" t="s">
        <v>13</v>
      </c>
      <c r="F1960" s="2" t="s">
        <v>14</v>
      </c>
      <c r="G1960" s="2">
        <v>61</v>
      </c>
      <c r="H1960" s="9">
        <v>84</v>
      </c>
    </row>
    <row r="1961" spans="2:8" x14ac:dyDescent="0.25">
      <c r="B1961" s="3">
        <v>44844</v>
      </c>
      <c r="C1961" s="2" t="s">
        <v>22</v>
      </c>
      <c r="D1961" s="2" t="s">
        <v>12</v>
      </c>
      <c r="E1961" s="2" t="s">
        <v>13</v>
      </c>
      <c r="F1961" s="2" t="s">
        <v>14</v>
      </c>
      <c r="G1961" s="2">
        <v>41</v>
      </c>
      <c r="H1961" s="9">
        <v>124</v>
      </c>
    </row>
    <row r="1962" spans="2:8" x14ac:dyDescent="0.25">
      <c r="B1962" s="3">
        <v>44844</v>
      </c>
      <c r="C1962" s="2" t="s">
        <v>22</v>
      </c>
      <c r="D1962" s="2" t="s">
        <v>12</v>
      </c>
      <c r="E1962" s="2" t="s">
        <v>13</v>
      </c>
      <c r="F1962" s="2" t="s">
        <v>16</v>
      </c>
      <c r="G1962" s="2">
        <v>93</v>
      </c>
      <c r="H1962" s="9">
        <v>141</v>
      </c>
    </row>
    <row r="1963" spans="2:8" x14ac:dyDescent="0.25">
      <c r="B1963" s="3">
        <v>44844</v>
      </c>
      <c r="C1963" s="2" t="s">
        <v>17</v>
      </c>
      <c r="D1963" s="2" t="s">
        <v>18</v>
      </c>
      <c r="E1963" s="2" t="s">
        <v>9</v>
      </c>
      <c r="F1963" s="2" t="s">
        <v>16</v>
      </c>
      <c r="G1963" s="2">
        <v>67</v>
      </c>
      <c r="H1963" s="9">
        <v>30</v>
      </c>
    </row>
    <row r="1964" spans="2:8" x14ac:dyDescent="0.25">
      <c r="B1964" s="3">
        <v>44844</v>
      </c>
      <c r="C1964" s="2" t="s">
        <v>27</v>
      </c>
      <c r="D1964" s="2" t="s">
        <v>18</v>
      </c>
      <c r="E1964" s="2" t="s">
        <v>9</v>
      </c>
      <c r="F1964" s="2" t="s">
        <v>16</v>
      </c>
      <c r="G1964" s="2">
        <v>67</v>
      </c>
      <c r="H1964" s="9">
        <v>130</v>
      </c>
    </row>
    <row r="1965" spans="2:8" x14ac:dyDescent="0.25">
      <c r="B1965" s="3">
        <v>44844</v>
      </c>
      <c r="C1965" s="2" t="s">
        <v>19</v>
      </c>
      <c r="D1965" s="2" t="s">
        <v>12</v>
      </c>
      <c r="E1965" s="2" t="s">
        <v>9</v>
      </c>
      <c r="F1965" s="2" t="s">
        <v>10</v>
      </c>
      <c r="G1965" s="2">
        <v>87</v>
      </c>
      <c r="H1965" s="9">
        <v>85</v>
      </c>
    </row>
    <row r="1966" spans="2:8" x14ac:dyDescent="0.25">
      <c r="B1966" s="3">
        <v>44845</v>
      </c>
      <c r="C1966" s="2" t="s">
        <v>20</v>
      </c>
      <c r="D1966" s="2" t="s">
        <v>8</v>
      </c>
      <c r="E1966" s="2" t="s">
        <v>9</v>
      </c>
      <c r="F1966" s="2" t="s">
        <v>14</v>
      </c>
      <c r="G1966" s="2">
        <v>57</v>
      </c>
      <c r="H1966" s="9">
        <v>131</v>
      </c>
    </row>
    <row r="1967" spans="2:8" x14ac:dyDescent="0.25">
      <c r="B1967" s="3">
        <v>44845</v>
      </c>
      <c r="C1967" s="2" t="s">
        <v>22</v>
      </c>
      <c r="D1967" s="2" t="s">
        <v>12</v>
      </c>
      <c r="E1967" s="2" t="s">
        <v>13</v>
      </c>
      <c r="F1967" s="2" t="s">
        <v>14</v>
      </c>
      <c r="G1967" s="2">
        <v>59</v>
      </c>
      <c r="H1967" s="9">
        <v>80</v>
      </c>
    </row>
    <row r="1968" spans="2:8" x14ac:dyDescent="0.25">
      <c r="B1968" s="3">
        <v>44845</v>
      </c>
      <c r="C1968" s="2" t="s">
        <v>28</v>
      </c>
      <c r="D1968" s="2" t="s">
        <v>8</v>
      </c>
      <c r="E1968" s="2" t="s">
        <v>9</v>
      </c>
      <c r="F1968" s="2" t="s">
        <v>10</v>
      </c>
      <c r="G1968" s="2">
        <v>66</v>
      </c>
      <c r="H1968" s="9">
        <v>62</v>
      </c>
    </row>
    <row r="1969" spans="2:8" x14ac:dyDescent="0.25">
      <c r="B1969" s="3">
        <v>44845</v>
      </c>
      <c r="C1969" s="2" t="s">
        <v>23</v>
      </c>
      <c r="D1969" s="2" t="s">
        <v>18</v>
      </c>
      <c r="E1969" s="2" t="s">
        <v>9</v>
      </c>
      <c r="F1969" s="2" t="s">
        <v>16</v>
      </c>
      <c r="G1969" s="2">
        <v>54</v>
      </c>
      <c r="H1969" s="9">
        <v>81</v>
      </c>
    </row>
    <row r="1970" spans="2:8" x14ac:dyDescent="0.25">
      <c r="B1970" s="3">
        <v>44845</v>
      </c>
      <c r="C1970" s="2" t="s">
        <v>24</v>
      </c>
      <c r="D1970" s="2" t="s">
        <v>18</v>
      </c>
      <c r="E1970" s="2" t="s">
        <v>9</v>
      </c>
      <c r="F1970" s="2" t="s">
        <v>16</v>
      </c>
      <c r="G1970" s="2">
        <v>98</v>
      </c>
      <c r="H1970" s="9">
        <v>37</v>
      </c>
    </row>
    <row r="1971" spans="2:8" x14ac:dyDescent="0.25">
      <c r="B1971" s="3">
        <v>44845</v>
      </c>
      <c r="C1971" s="2" t="s">
        <v>17</v>
      </c>
      <c r="D1971" s="2" t="s">
        <v>18</v>
      </c>
      <c r="E1971" s="2" t="s">
        <v>13</v>
      </c>
      <c r="F1971" s="2" t="s">
        <v>10</v>
      </c>
      <c r="G1971" s="2">
        <v>35</v>
      </c>
      <c r="H1971" s="9">
        <v>114</v>
      </c>
    </row>
    <row r="1972" spans="2:8" x14ac:dyDescent="0.25">
      <c r="B1972" s="3">
        <v>44845</v>
      </c>
      <c r="C1972" s="2" t="s">
        <v>27</v>
      </c>
      <c r="D1972" s="2" t="s">
        <v>18</v>
      </c>
      <c r="E1972" s="2" t="s">
        <v>9</v>
      </c>
      <c r="F1972" s="2" t="s">
        <v>10</v>
      </c>
      <c r="G1972" s="2">
        <v>25</v>
      </c>
      <c r="H1972" s="9">
        <v>89</v>
      </c>
    </row>
    <row r="1973" spans="2:8" x14ac:dyDescent="0.25">
      <c r="B1973" s="3">
        <v>44845</v>
      </c>
      <c r="C1973" s="2" t="s">
        <v>23</v>
      </c>
      <c r="D1973" s="2" t="s">
        <v>18</v>
      </c>
      <c r="E1973" s="2" t="s">
        <v>9</v>
      </c>
      <c r="F1973" s="2" t="s">
        <v>14</v>
      </c>
      <c r="G1973" s="2">
        <v>25</v>
      </c>
      <c r="H1973" s="9">
        <v>97</v>
      </c>
    </row>
    <row r="1974" spans="2:8" x14ac:dyDescent="0.25">
      <c r="B1974" s="3">
        <v>44845</v>
      </c>
      <c r="C1974" s="2" t="s">
        <v>15</v>
      </c>
      <c r="D1974" s="2" t="s">
        <v>8</v>
      </c>
      <c r="E1974" s="2" t="s">
        <v>13</v>
      </c>
      <c r="F1974" s="2" t="s">
        <v>16</v>
      </c>
      <c r="G1974" s="2">
        <v>61</v>
      </c>
      <c r="H1974" s="9">
        <v>96</v>
      </c>
    </row>
    <row r="1975" spans="2:8" x14ac:dyDescent="0.25">
      <c r="B1975" s="3">
        <v>44845</v>
      </c>
      <c r="C1975" s="2" t="s">
        <v>23</v>
      </c>
      <c r="D1975" s="2" t="s">
        <v>18</v>
      </c>
      <c r="E1975" s="2" t="s">
        <v>13</v>
      </c>
      <c r="F1975" s="2" t="s">
        <v>10</v>
      </c>
      <c r="G1975" s="2">
        <v>36</v>
      </c>
      <c r="H1975" s="9">
        <v>61</v>
      </c>
    </row>
    <row r="1976" spans="2:8" x14ac:dyDescent="0.25">
      <c r="B1976" s="3">
        <v>44846</v>
      </c>
      <c r="C1976" s="2" t="s">
        <v>19</v>
      </c>
      <c r="D1976" s="2" t="s">
        <v>12</v>
      </c>
      <c r="E1976" s="2" t="s">
        <v>13</v>
      </c>
      <c r="F1976" s="2" t="s">
        <v>10</v>
      </c>
      <c r="G1976" s="2">
        <v>75</v>
      </c>
      <c r="H1976" s="9">
        <v>104</v>
      </c>
    </row>
    <row r="1977" spans="2:8" x14ac:dyDescent="0.25">
      <c r="B1977" s="3">
        <v>44846</v>
      </c>
      <c r="C1977" s="2" t="s">
        <v>27</v>
      </c>
      <c r="D1977" s="2" t="s">
        <v>18</v>
      </c>
      <c r="E1977" s="2" t="s">
        <v>9</v>
      </c>
      <c r="F1977" s="2" t="s">
        <v>16</v>
      </c>
      <c r="G1977" s="2">
        <v>69</v>
      </c>
      <c r="H1977" s="9">
        <v>36</v>
      </c>
    </row>
    <row r="1978" spans="2:8" x14ac:dyDescent="0.25">
      <c r="B1978" s="3">
        <v>44846</v>
      </c>
      <c r="C1978" s="2" t="s">
        <v>22</v>
      </c>
      <c r="D1978" s="2" t="s">
        <v>12</v>
      </c>
      <c r="E1978" s="2" t="s">
        <v>13</v>
      </c>
      <c r="F1978" s="2" t="s">
        <v>14</v>
      </c>
      <c r="G1978" s="2">
        <v>73</v>
      </c>
      <c r="H1978" s="9">
        <v>94</v>
      </c>
    </row>
    <row r="1979" spans="2:8" x14ac:dyDescent="0.25">
      <c r="B1979" s="3">
        <v>44846</v>
      </c>
      <c r="C1979" s="2" t="s">
        <v>20</v>
      </c>
      <c r="D1979" s="2" t="s">
        <v>8</v>
      </c>
      <c r="E1979" s="2" t="s">
        <v>13</v>
      </c>
      <c r="F1979" s="2" t="s">
        <v>16</v>
      </c>
      <c r="G1979" s="2">
        <v>47</v>
      </c>
      <c r="H1979" s="9">
        <v>148</v>
      </c>
    </row>
    <row r="1980" spans="2:8" x14ac:dyDescent="0.25">
      <c r="B1980" s="3">
        <v>44846</v>
      </c>
      <c r="C1980" s="2" t="s">
        <v>15</v>
      </c>
      <c r="D1980" s="2" t="s">
        <v>8</v>
      </c>
      <c r="E1980" s="2" t="s">
        <v>9</v>
      </c>
      <c r="F1980" s="2" t="s">
        <v>14</v>
      </c>
      <c r="G1980" s="2">
        <v>30</v>
      </c>
      <c r="H1980" s="9">
        <v>99</v>
      </c>
    </row>
    <row r="1981" spans="2:8" x14ac:dyDescent="0.25">
      <c r="B1981" s="3">
        <v>44846</v>
      </c>
      <c r="C1981" s="2" t="s">
        <v>26</v>
      </c>
      <c r="D1981" s="2" t="s">
        <v>12</v>
      </c>
      <c r="E1981" s="2" t="s">
        <v>13</v>
      </c>
      <c r="F1981" s="2" t="s">
        <v>14</v>
      </c>
      <c r="G1981" s="2">
        <v>58</v>
      </c>
      <c r="H1981" s="9">
        <v>121</v>
      </c>
    </row>
    <row r="1982" spans="2:8" x14ac:dyDescent="0.25">
      <c r="B1982" s="3">
        <v>44846</v>
      </c>
      <c r="C1982" s="2" t="s">
        <v>11</v>
      </c>
      <c r="D1982" s="2" t="s">
        <v>12</v>
      </c>
      <c r="E1982" s="2" t="s">
        <v>9</v>
      </c>
      <c r="F1982" s="2" t="s">
        <v>16</v>
      </c>
      <c r="G1982" s="2">
        <v>86</v>
      </c>
      <c r="H1982" s="9">
        <v>61</v>
      </c>
    </row>
    <row r="1983" spans="2:8" x14ac:dyDescent="0.25">
      <c r="B1983" s="3">
        <v>44846</v>
      </c>
      <c r="C1983" s="2" t="s">
        <v>15</v>
      </c>
      <c r="D1983" s="2" t="s">
        <v>8</v>
      </c>
      <c r="E1983" s="2" t="s">
        <v>13</v>
      </c>
      <c r="F1983" s="2" t="s">
        <v>14</v>
      </c>
      <c r="G1983" s="2">
        <v>58</v>
      </c>
      <c r="H1983" s="9">
        <v>44</v>
      </c>
    </row>
    <row r="1984" spans="2:8" x14ac:dyDescent="0.25">
      <c r="B1984" s="3">
        <v>44846</v>
      </c>
      <c r="C1984" s="2" t="s">
        <v>21</v>
      </c>
      <c r="D1984" s="2" t="s">
        <v>8</v>
      </c>
      <c r="E1984" s="2" t="s">
        <v>13</v>
      </c>
      <c r="F1984" s="2" t="s">
        <v>16</v>
      </c>
      <c r="G1984" s="2">
        <v>89</v>
      </c>
      <c r="H1984" s="9">
        <v>31</v>
      </c>
    </row>
    <row r="1985" spans="2:8" x14ac:dyDescent="0.25">
      <c r="B1985" s="3">
        <v>44846</v>
      </c>
      <c r="C1985" s="2" t="s">
        <v>25</v>
      </c>
      <c r="D1985" s="2" t="s">
        <v>12</v>
      </c>
      <c r="E1985" s="2" t="s">
        <v>9</v>
      </c>
      <c r="F1985" s="2" t="s">
        <v>16</v>
      </c>
      <c r="G1985" s="2">
        <v>68</v>
      </c>
      <c r="H1985" s="9">
        <v>77</v>
      </c>
    </row>
    <row r="1986" spans="2:8" x14ac:dyDescent="0.25">
      <c r="B1986" s="3">
        <v>44846</v>
      </c>
      <c r="C1986" s="2" t="s">
        <v>27</v>
      </c>
      <c r="D1986" s="2" t="s">
        <v>18</v>
      </c>
      <c r="E1986" s="2" t="s">
        <v>13</v>
      </c>
      <c r="F1986" s="2" t="s">
        <v>16</v>
      </c>
      <c r="G1986" s="2">
        <v>89</v>
      </c>
      <c r="H1986" s="9">
        <v>122</v>
      </c>
    </row>
    <row r="1987" spans="2:8" x14ac:dyDescent="0.25">
      <c r="B1987" s="3">
        <v>44846</v>
      </c>
      <c r="C1987" s="2" t="s">
        <v>11</v>
      </c>
      <c r="D1987" s="2" t="s">
        <v>12</v>
      </c>
      <c r="E1987" s="2" t="s">
        <v>13</v>
      </c>
      <c r="F1987" s="2" t="s">
        <v>10</v>
      </c>
      <c r="G1987" s="2">
        <v>70</v>
      </c>
      <c r="H1987" s="9">
        <v>83</v>
      </c>
    </row>
    <row r="1988" spans="2:8" x14ac:dyDescent="0.25">
      <c r="B1988" s="3">
        <v>44846</v>
      </c>
      <c r="C1988" s="2" t="s">
        <v>15</v>
      </c>
      <c r="D1988" s="2" t="s">
        <v>8</v>
      </c>
      <c r="E1988" s="2" t="s">
        <v>13</v>
      </c>
      <c r="F1988" s="2" t="s">
        <v>10</v>
      </c>
      <c r="G1988" s="2">
        <v>75</v>
      </c>
      <c r="H1988" s="9">
        <v>144</v>
      </c>
    </row>
    <row r="1989" spans="2:8" x14ac:dyDescent="0.25">
      <c r="B1989" s="3">
        <v>44846</v>
      </c>
      <c r="C1989" s="2" t="s">
        <v>21</v>
      </c>
      <c r="D1989" s="2" t="s">
        <v>8</v>
      </c>
      <c r="E1989" s="2" t="s">
        <v>13</v>
      </c>
      <c r="F1989" s="2" t="s">
        <v>16</v>
      </c>
      <c r="G1989" s="2">
        <v>28</v>
      </c>
      <c r="H1989" s="9">
        <v>75</v>
      </c>
    </row>
    <row r="1990" spans="2:8" x14ac:dyDescent="0.25">
      <c r="B1990" s="3">
        <v>44846</v>
      </c>
      <c r="C1990" s="2" t="s">
        <v>22</v>
      </c>
      <c r="D1990" s="2" t="s">
        <v>12</v>
      </c>
      <c r="E1990" s="2" t="s">
        <v>13</v>
      </c>
      <c r="F1990" s="2" t="s">
        <v>16</v>
      </c>
      <c r="G1990" s="2">
        <v>64</v>
      </c>
      <c r="H1990" s="9">
        <v>30</v>
      </c>
    </row>
    <row r="1991" spans="2:8" x14ac:dyDescent="0.25">
      <c r="B1991" s="3">
        <v>44847</v>
      </c>
      <c r="C1991" s="2" t="s">
        <v>28</v>
      </c>
      <c r="D1991" s="2" t="s">
        <v>8</v>
      </c>
      <c r="E1991" s="2" t="s">
        <v>13</v>
      </c>
      <c r="F1991" s="2" t="s">
        <v>10</v>
      </c>
      <c r="G1991" s="2">
        <v>88</v>
      </c>
      <c r="H1991" s="9">
        <v>116</v>
      </c>
    </row>
    <row r="1992" spans="2:8" x14ac:dyDescent="0.25">
      <c r="B1992" s="3">
        <v>44847</v>
      </c>
      <c r="C1992" s="2" t="s">
        <v>28</v>
      </c>
      <c r="D1992" s="2" t="s">
        <v>8</v>
      </c>
      <c r="E1992" s="2" t="s">
        <v>13</v>
      </c>
      <c r="F1992" s="2" t="s">
        <v>14</v>
      </c>
      <c r="G1992" s="2">
        <v>64</v>
      </c>
      <c r="H1992" s="9">
        <v>53</v>
      </c>
    </row>
    <row r="1993" spans="2:8" x14ac:dyDescent="0.25">
      <c r="B1993" s="3">
        <v>44847</v>
      </c>
      <c r="C1993" s="2" t="s">
        <v>15</v>
      </c>
      <c r="D1993" s="2" t="s">
        <v>8</v>
      </c>
      <c r="E1993" s="2" t="s">
        <v>9</v>
      </c>
      <c r="F1993" s="2" t="s">
        <v>10</v>
      </c>
      <c r="G1993" s="2">
        <v>38</v>
      </c>
      <c r="H1993" s="9">
        <v>121</v>
      </c>
    </row>
    <row r="1994" spans="2:8" x14ac:dyDescent="0.25">
      <c r="B1994" s="3">
        <v>44847</v>
      </c>
      <c r="C1994" s="2" t="s">
        <v>29</v>
      </c>
      <c r="D1994" s="2" t="s">
        <v>18</v>
      </c>
      <c r="E1994" s="2" t="s">
        <v>9</v>
      </c>
      <c r="F1994" s="2" t="s">
        <v>16</v>
      </c>
      <c r="G1994" s="2">
        <v>98</v>
      </c>
      <c r="H1994" s="9">
        <v>73</v>
      </c>
    </row>
    <row r="1995" spans="2:8" x14ac:dyDescent="0.25">
      <c r="B1995" s="3">
        <v>44847</v>
      </c>
      <c r="C1995" s="2" t="s">
        <v>26</v>
      </c>
      <c r="D1995" s="2" t="s">
        <v>12</v>
      </c>
      <c r="E1995" s="2" t="s">
        <v>13</v>
      </c>
      <c r="F1995" s="2" t="s">
        <v>10</v>
      </c>
      <c r="G1995" s="2">
        <v>19</v>
      </c>
      <c r="H1995" s="9">
        <v>113</v>
      </c>
    </row>
    <row r="1996" spans="2:8" x14ac:dyDescent="0.25">
      <c r="B1996" s="3">
        <v>44847</v>
      </c>
      <c r="C1996" s="2" t="s">
        <v>15</v>
      </c>
      <c r="D1996" s="2" t="s">
        <v>8</v>
      </c>
      <c r="E1996" s="2" t="s">
        <v>13</v>
      </c>
      <c r="F1996" s="2" t="s">
        <v>10</v>
      </c>
      <c r="G1996" s="2">
        <v>52</v>
      </c>
      <c r="H1996" s="9">
        <v>148</v>
      </c>
    </row>
    <row r="1997" spans="2:8" x14ac:dyDescent="0.25">
      <c r="B1997" s="3">
        <v>44848</v>
      </c>
      <c r="C1997" s="2" t="s">
        <v>15</v>
      </c>
      <c r="D1997" s="2" t="s">
        <v>8</v>
      </c>
      <c r="E1997" s="2" t="s">
        <v>13</v>
      </c>
      <c r="F1997" s="2" t="s">
        <v>14</v>
      </c>
      <c r="G1997" s="2">
        <v>20</v>
      </c>
      <c r="H1997" s="9">
        <v>25</v>
      </c>
    </row>
    <row r="1998" spans="2:8" x14ac:dyDescent="0.25">
      <c r="B1998" s="3">
        <v>44848</v>
      </c>
      <c r="C1998" s="2" t="s">
        <v>26</v>
      </c>
      <c r="D1998" s="2" t="s">
        <v>12</v>
      </c>
      <c r="E1998" s="2" t="s">
        <v>13</v>
      </c>
      <c r="F1998" s="2" t="s">
        <v>10</v>
      </c>
      <c r="G1998" s="2">
        <v>85</v>
      </c>
      <c r="H1998" s="9">
        <v>90</v>
      </c>
    </row>
    <row r="1999" spans="2:8" x14ac:dyDescent="0.25">
      <c r="B1999" s="3">
        <v>44848</v>
      </c>
      <c r="C1999" s="2" t="s">
        <v>7</v>
      </c>
      <c r="D1999" s="2" t="s">
        <v>8</v>
      </c>
      <c r="E1999" s="2" t="s">
        <v>9</v>
      </c>
      <c r="F1999" s="2" t="s">
        <v>10</v>
      </c>
      <c r="G1999" s="2">
        <v>54</v>
      </c>
      <c r="H1999" s="9">
        <v>71</v>
      </c>
    </row>
    <row r="2000" spans="2:8" x14ac:dyDescent="0.25">
      <c r="B2000" s="3">
        <v>44848</v>
      </c>
      <c r="C2000" s="2" t="s">
        <v>15</v>
      </c>
      <c r="D2000" s="2" t="s">
        <v>8</v>
      </c>
      <c r="E2000" s="2" t="s">
        <v>13</v>
      </c>
      <c r="F2000" s="2" t="s">
        <v>14</v>
      </c>
      <c r="G2000" s="2">
        <v>54</v>
      </c>
      <c r="H2000" s="9">
        <v>73</v>
      </c>
    </row>
    <row r="2001" spans="2:8" x14ac:dyDescent="0.25">
      <c r="B2001" s="3">
        <v>44848</v>
      </c>
      <c r="C2001" s="2" t="s">
        <v>20</v>
      </c>
      <c r="D2001" s="2" t="s">
        <v>8</v>
      </c>
      <c r="E2001" s="2" t="s">
        <v>9</v>
      </c>
      <c r="F2001" s="2" t="s">
        <v>16</v>
      </c>
      <c r="G2001" s="2">
        <v>91</v>
      </c>
      <c r="H2001" s="9">
        <v>116</v>
      </c>
    </row>
    <row r="2002" spans="2:8" x14ac:dyDescent="0.25">
      <c r="B2002" s="3">
        <v>44848</v>
      </c>
      <c r="C2002" s="2" t="s">
        <v>21</v>
      </c>
      <c r="D2002" s="2" t="s">
        <v>8</v>
      </c>
      <c r="E2002" s="2" t="s">
        <v>13</v>
      </c>
      <c r="F2002" s="2" t="s">
        <v>10</v>
      </c>
      <c r="G2002" s="2">
        <v>78</v>
      </c>
      <c r="H2002" s="9">
        <v>58</v>
      </c>
    </row>
    <row r="2003" spans="2:8" x14ac:dyDescent="0.25">
      <c r="B2003" s="3">
        <v>44849</v>
      </c>
      <c r="C2003" s="2" t="s">
        <v>24</v>
      </c>
      <c r="D2003" s="2" t="s">
        <v>18</v>
      </c>
      <c r="E2003" s="2" t="s">
        <v>9</v>
      </c>
      <c r="F2003" s="2" t="s">
        <v>16</v>
      </c>
      <c r="G2003" s="2">
        <v>38</v>
      </c>
      <c r="H2003" s="9">
        <v>149</v>
      </c>
    </row>
    <row r="2004" spans="2:8" x14ac:dyDescent="0.25">
      <c r="B2004" s="3">
        <v>44849</v>
      </c>
      <c r="C2004" s="2" t="s">
        <v>22</v>
      </c>
      <c r="D2004" s="2" t="s">
        <v>12</v>
      </c>
      <c r="E2004" s="2" t="s">
        <v>9</v>
      </c>
      <c r="F2004" s="2" t="s">
        <v>16</v>
      </c>
      <c r="G2004" s="2">
        <v>10</v>
      </c>
      <c r="H2004" s="9">
        <v>132</v>
      </c>
    </row>
    <row r="2005" spans="2:8" x14ac:dyDescent="0.25">
      <c r="B2005" s="3">
        <v>44849</v>
      </c>
      <c r="C2005" s="2" t="s">
        <v>24</v>
      </c>
      <c r="D2005" s="2" t="s">
        <v>18</v>
      </c>
      <c r="E2005" s="2" t="s">
        <v>13</v>
      </c>
      <c r="F2005" s="2" t="s">
        <v>10</v>
      </c>
      <c r="G2005" s="2">
        <v>94</v>
      </c>
      <c r="H2005" s="9">
        <v>93</v>
      </c>
    </row>
    <row r="2006" spans="2:8" x14ac:dyDescent="0.25">
      <c r="B2006" s="3">
        <v>44849</v>
      </c>
      <c r="C2006" s="2" t="s">
        <v>17</v>
      </c>
      <c r="D2006" s="2" t="s">
        <v>18</v>
      </c>
      <c r="E2006" s="2" t="s">
        <v>9</v>
      </c>
      <c r="F2006" s="2" t="s">
        <v>10</v>
      </c>
      <c r="G2006" s="2">
        <v>22</v>
      </c>
      <c r="H2006" s="9">
        <v>97</v>
      </c>
    </row>
    <row r="2007" spans="2:8" x14ac:dyDescent="0.25">
      <c r="B2007" s="3">
        <v>44849</v>
      </c>
      <c r="C2007" s="2" t="s">
        <v>29</v>
      </c>
      <c r="D2007" s="2" t="s">
        <v>18</v>
      </c>
      <c r="E2007" s="2" t="s">
        <v>13</v>
      </c>
      <c r="F2007" s="2" t="s">
        <v>16</v>
      </c>
      <c r="G2007" s="2">
        <v>40</v>
      </c>
      <c r="H2007" s="9">
        <v>38</v>
      </c>
    </row>
    <row r="2008" spans="2:8" x14ac:dyDescent="0.25">
      <c r="B2008" s="3">
        <v>44849</v>
      </c>
      <c r="C2008" s="2" t="s">
        <v>17</v>
      </c>
      <c r="D2008" s="2" t="s">
        <v>18</v>
      </c>
      <c r="E2008" s="2" t="s">
        <v>9</v>
      </c>
      <c r="F2008" s="2" t="s">
        <v>14</v>
      </c>
      <c r="G2008" s="2">
        <v>12</v>
      </c>
      <c r="H2008" s="9">
        <v>126</v>
      </c>
    </row>
    <row r="2009" spans="2:8" x14ac:dyDescent="0.25">
      <c r="B2009" s="3">
        <v>44849</v>
      </c>
      <c r="C2009" s="2" t="s">
        <v>17</v>
      </c>
      <c r="D2009" s="2" t="s">
        <v>18</v>
      </c>
      <c r="E2009" s="2" t="s">
        <v>13</v>
      </c>
      <c r="F2009" s="2" t="s">
        <v>10</v>
      </c>
      <c r="G2009" s="2">
        <v>31</v>
      </c>
      <c r="H2009" s="9">
        <v>29</v>
      </c>
    </row>
    <row r="2010" spans="2:8" x14ac:dyDescent="0.25">
      <c r="B2010" s="3">
        <v>44850</v>
      </c>
      <c r="C2010" s="2" t="s">
        <v>20</v>
      </c>
      <c r="D2010" s="2" t="s">
        <v>8</v>
      </c>
      <c r="E2010" s="2" t="s">
        <v>9</v>
      </c>
      <c r="F2010" s="2" t="s">
        <v>16</v>
      </c>
      <c r="G2010" s="2">
        <v>18</v>
      </c>
      <c r="H2010" s="9">
        <v>137</v>
      </c>
    </row>
    <row r="2011" spans="2:8" x14ac:dyDescent="0.25">
      <c r="B2011" s="3">
        <v>44850</v>
      </c>
      <c r="C2011" s="2" t="s">
        <v>29</v>
      </c>
      <c r="D2011" s="2" t="s">
        <v>18</v>
      </c>
      <c r="E2011" s="2" t="s">
        <v>9</v>
      </c>
      <c r="F2011" s="2" t="s">
        <v>16</v>
      </c>
      <c r="G2011" s="2">
        <v>98</v>
      </c>
      <c r="H2011" s="9">
        <v>76</v>
      </c>
    </row>
    <row r="2012" spans="2:8" x14ac:dyDescent="0.25">
      <c r="B2012" s="3">
        <v>44850</v>
      </c>
      <c r="C2012" s="2" t="s">
        <v>26</v>
      </c>
      <c r="D2012" s="2" t="s">
        <v>12</v>
      </c>
      <c r="E2012" s="2" t="s">
        <v>9</v>
      </c>
      <c r="F2012" s="2" t="s">
        <v>10</v>
      </c>
      <c r="G2012" s="2">
        <v>67</v>
      </c>
      <c r="H2012" s="9">
        <v>105</v>
      </c>
    </row>
    <row r="2013" spans="2:8" x14ac:dyDescent="0.25">
      <c r="B2013" s="3">
        <v>44850</v>
      </c>
      <c r="C2013" s="2" t="s">
        <v>27</v>
      </c>
      <c r="D2013" s="2" t="s">
        <v>18</v>
      </c>
      <c r="E2013" s="2" t="s">
        <v>13</v>
      </c>
      <c r="F2013" s="2" t="s">
        <v>14</v>
      </c>
      <c r="G2013" s="2">
        <v>35</v>
      </c>
      <c r="H2013" s="9">
        <v>70</v>
      </c>
    </row>
    <row r="2014" spans="2:8" x14ac:dyDescent="0.25">
      <c r="B2014" s="3">
        <v>44850</v>
      </c>
      <c r="C2014" s="2" t="s">
        <v>22</v>
      </c>
      <c r="D2014" s="2" t="s">
        <v>12</v>
      </c>
      <c r="E2014" s="2" t="s">
        <v>13</v>
      </c>
      <c r="F2014" s="2" t="s">
        <v>14</v>
      </c>
      <c r="G2014" s="2">
        <v>35</v>
      </c>
      <c r="H2014" s="9">
        <v>131</v>
      </c>
    </row>
    <row r="2015" spans="2:8" x14ac:dyDescent="0.25">
      <c r="B2015" s="3">
        <v>44850</v>
      </c>
      <c r="C2015" s="2" t="s">
        <v>28</v>
      </c>
      <c r="D2015" s="2" t="s">
        <v>8</v>
      </c>
      <c r="E2015" s="2" t="s">
        <v>13</v>
      </c>
      <c r="F2015" s="2" t="s">
        <v>16</v>
      </c>
      <c r="G2015" s="2">
        <v>87</v>
      </c>
      <c r="H2015" s="9">
        <v>131</v>
      </c>
    </row>
    <row r="2016" spans="2:8" x14ac:dyDescent="0.25">
      <c r="B2016" s="3">
        <v>44850</v>
      </c>
      <c r="C2016" s="2" t="s">
        <v>7</v>
      </c>
      <c r="D2016" s="2" t="s">
        <v>8</v>
      </c>
      <c r="E2016" s="2" t="s">
        <v>13</v>
      </c>
      <c r="F2016" s="2" t="s">
        <v>14</v>
      </c>
      <c r="G2016" s="2">
        <v>84</v>
      </c>
      <c r="H2016" s="9">
        <v>146</v>
      </c>
    </row>
    <row r="2017" spans="2:8" x14ac:dyDescent="0.25">
      <c r="B2017" s="3">
        <v>44850</v>
      </c>
      <c r="C2017" s="2" t="s">
        <v>15</v>
      </c>
      <c r="D2017" s="2" t="s">
        <v>8</v>
      </c>
      <c r="E2017" s="2" t="s">
        <v>13</v>
      </c>
      <c r="F2017" s="2" t="s">
        <v>10</v>
      </c>
      <c r="G2017" s="2">
        <v>91</v>
      </c>
      <c r="H2017" s="9">
        <v>105</v>
      </c>
    </row>
    <row r="2018" spans="2:8" x14ac:dyDescent="0.25">
      <c r="B2018" s="3">
        <v>44850</v>
      </c>
      <c r="C2018" s="2" t="s">
        <v>19</v>
      </c>
      <c r="D2018" s="2" t="s">
        <v>12</v>
      </c>
      <c r="E2018" s="2" t="s">
        <v>13</v>
      </c>
      <c r="F2018" s="2" t="s">
        <v>10</v>
      </c>
      <c r="G2018" s="2">
        <v>39</v>
      </c>
      <c r="H2018" s="9">
        <v>117</v>
      </c>
    </row>
    <row r="2019" spans="2:8" x14ac:dyDescent="0.25">
      <c r="B2019" s="3">
        <v>44851</v>
      </c>
      <c r="C2019" s="2" t="s">
        <v>23</v>
      </c>
      <c r="D2019" s="2" t="s">
        <v>18</v>
      </c>
      <c r="E2019" s="2" t="s">
        <v>13</v>
      </c>
      <c r="F2019" s="2" t="s">
        <v>10</v>
      </c>
      <c r="G2019" s="2">
        <v>84</v>
      </c>
      <c r="H2019" s="9">
        <v>58</v>
      </c>
    </row>
    <row r="2020" spans="2:8" x14ac:dyDescent="0.25">
      <c r="B2020" s="3">
        <v>44851</v>
      </c>
      <c r="C2020" s="2" t="s">
        <v>21</v>
      </c>
      <c r="D2020" s="2" t="s">
        <v>8</v>
      </c>
      <c r="E2020" s="2" t="s">
        <v>9</v>
      </c>
      <c r="F2020" s="2" t="s">
        <v>14</v>
      </c>
      <c r="G2020" s="2">
        <v>41</v>
      </c>
      <c r="H2020" s="9">
        <v>68</v>
      </c>
    </row>
    <row r="2021" spans="2:8" x14ac:dyDescent="0.25">
      <c r="B2021" s="3">
        <v>44851</v>
      </c>
      <c r="C2021" s="2" t="s">
        <v>28</v>
      </c>
      <c r="D2021" s="2" t="s">
        <v>8</v>
      </c>
      <c r="E2021" s="2" t="s">
        <v>13</v>
      </c>
      <c r="F2021" s="2" t="s">
        <v>16</v>
      </c>
      <c r="G2021" s="2">
        <v>80</v>
      </c>
      <c r="H2021" s="9">
        <v>64</v>
      </c>
    </row>
    <row r="2022" spans="2:8" x14ac:dyDescent="0.25">
      <c r="B2022" s="3">
        <v>44851</v>
      </c>
      <c r="C2022" s="2" t="s">
        <v>29</v>
      </c>
      <c r="D2022" s="2" t="s">
        <v>18</v>
      </c>
      <c r="E2022" s="2" t="s">
        <v>9</v>
      </c>
      <c r="F2022" s="2" t="s">
        <v>14</v>
      </c>
      <c r="G2022" s="2">
        <v>94</v>
      </c>
      <c r="H2022" s="9">
        <v>41</v>
      </c>
    </row>
    <row r="2023" spans="2:8" x14ac:dyDescent="0.25">
      <c r="B2023" s="3">
        <v>44851</v>
      </c>
      <c r="C2023" s="2" t="s">
        <v>25</v>
      </c>
      <c r="D2023" s="2" t="s">
        <v>12</v>
      </c>
      <c r="E2023" s="2" t="s">
        <v>9</v>
      </c>
      <c r="F2023" s="2" t="s">
        <v>14</v>
      </c>
      <c r="G2023" s="2">
        <v>44</v>
      </c>
      <c r="H2023" s="9">
        <v>98</v>
      </c>
    </row>
    <row r="2024" spans="2:8" x14ac:dyDescent="0.25">
      <c r="B2024" s="3">
        <v>44851</v>
      </c>
      <c r="C2024" s="2" t="s">
        <v>23</v>
      </c>
      <c r="D2024" s="2" t="s">
        <v>18</v>
      </c>
      <c r="E2024" s="2" t="s">
        <v>13</v>
      </c>
      <c r="F2024" s="2" t="s">
        <v>16</v>
      </c>
      <c r="G2024" s="2">
        <v>29</v>
      </c>
      <c r="H2024" s="9">
        <v>65</v>
      </c>
    </row>
    <row r="2025" spans="2:8" x14ac:dyDescent="0.25">
      <c r="B2025" s="3">
        <v>44851</v>
      </c>
      <c r="C2025" s="2" t="s">
        <v>25</v>
      </c>
      <c r="D2025" s="2" t="s">
        <v>12</v>
      </c>
      <c r="E2025" s="2" t="s">
        <v>13</v>
      </c>
      <c r="F2025" s="2" t="s">
        <v>10</v>
      </c>
      <c r="G2025" s="2">
        <v>81</v>
      </c>
      <c r="H2025" s="9">
        <v>55</v>
      </c>
    </row>
    <row r="2026" spans="2:8" x14ac:dyDescent="0.25">
      <c r="B2026" s="3">
        <v>44851</v>
      </c>
      <c r="C2026" s="2" t="s">
        <v>22</v>
      </c>
      <c r="D2026" s="2" t="s">
        <v>12</v>
      </c>
      <c r="E2026" s="2" t="s">
        <v>13</v>
      </c>
      <c r="F2026" s="2" t="s">
        <v>14</v>
      </c>
      <c r="G2026" s="2">
        <v>95</v>
      </c>
      <c r="H2026" s="9">
        <v>96</v>
      </c>
    </row>
    <row r="2027" spans="2:8" x14ac:dyDescent="0.25">
      <c r="B2027" s="3">
        <v>44851</v>
      </c>
      <c r="C2027" s="2" t="s">
        <v>20</v>
      </c>
      <c r="D2027" s="2" t="s">
        <v>8</v>
      </c>
      <c r="E2027" s="2" t="s">
        <v>9</v>
      </c>
      <c r="F2027" s="2" t="s">
        <v>14</v>
      </c>
      <c r="G2027" s="2">
        <v>40</v>
      </c>
      <c r="H2027" s="9">
        <v>71</v>
      </c>
    </row>
    <row r="2028" spans="2:8" x14ac:dyDescent="0.25">
      <c r="B2028" s="3">
        <v>44852</v>
      </c>
      <c r="C2028" s="2" t="s">
        <v>23</v>
      </c>
      <c r="D2028" s="2" t="s">
        <v>18</v>
      </c>
      <c r="E2028" s="2" t="s">
        <v>13</v>
      </c>
      <c r="F2028" s="2" t="s">
        <v>14</v>
      </c>
      <c r="G2028" s="2">
        <v>35</v>
      </c>
      <c r="H2028" s="9">
        <v>56</v>
      </c>
    </row>
    <row r="2029" spans="2:8" x14ac:dyDescent="0.25">
      <c r="B2029" s="3">
        <v>44852</v>
      </c>
      <c r="C2029" s="2" t="s">
        <v>11</v>
      </c>
      <c r="D2029" s="2" t="s">
        <v>12</v>
      </c>
      <c r="E2029" s="2" t="s">
        <v>13</v>
      </c>
      <c r="F2029" s="2" t="s">
        <v>14</v>
      </c>
      <c r="G2029" s="2">
        <v>12</v>
      </c>
      <c r="H2029" s="9">
        <v>38</v>
      </c>
    </row>
    <row r="2030" spans="2:8" x14ac:dyDescent="0.25">
      <c r="B2030" s="3">
        <v>44852</v>
      </c>
      <c r="C2030" s="2" t="s">
        <v>24</v>
      </c>
      <c r="D2030" s="2" t="s">
        <v>18</v>
      </c>
      <c r="E2030" s="2" t="s">
        <v>13</v>
      </c>
      <c r="F2030" s="2" t="s">
        <v>16</v>
      </c>
      <c r="G2030" s="2">
        <v>60</v>
      </c>
      <c r="H2030" s="9">
        <v>59</v>
      </c>
    </row>
    <row r="2031" spans="2:8" x14ac:dyDescent="0.25">
      <c r="B2031" s="3">
        <v>44852</v>
      </c>
      <c r="C2031" s="2" t="s">
        <v>7</v>
      </c>
      <c r="D2031" s="2" t="s">
        <v>8</v>
      </c>
      <c r="E2031" s="2" t="s">
        <v>13</v>
      </c>
      <c r="F2031" s="2" t="s">
        <v>14</v>
      </c>
      <c r="G2031" s="2">
        <v>56</v>
      </c>
      <c r="H2031" s="9">
        <v>71</v>
      </c>
    </row>
    <row r="2032" spans="2:8" x14ac:dyDescent="0.25">
      <c r="B2032" s="3">
        <v>44852</v>
      </c>
      <c r="C2032" s="2" t="s">
        <v>27</v>
      </c>
      <c r="D2032" s="2" t="s">
        <v>18</v>
      </c>
      <c r="E2032" s="2" t="s">
        <v>13</v>
      </c>
      <c r="F2032" s="2" t="s">
        <v>10</v>
      </c>
      <c r="G2032" s="2">
        <v>80</v>
      </c>
      <c r="H2032" s="9">
        <v>118</v>
      </c>
    </row>
    <row r="2033" spans="2:8" x14ac:dyDescent="0.25">
      <c r="B2033" s="3">
        <v>44853</v>
      </c>
      <c r="C2033" s="2" t="s">
        <v>11</v>
      </c>
      <c r="D2033" s="2" t="s">
        <v>12</v>
      </c>
      <c r="E2033" s="2" t="s">
        <v>9</v>
      </c>
      <c r="F2033" s="2" t="s">
        <v>10</v>
      </c>
      <c r="G2033" s="2">
        <v>23</v>
      </c>
      <c r="H2033" s="9">
        <v>93</v>
      </c>
    </row>
    <row r="2034" spans="2:8" x14ac:dyDescent="0.25">
      <c r="B2034" s="3">
        <v>44853</v>
      </c>
      <c r="C2034" s="2" t="s">
        <v>20</v>
      </c>
      <c r="D2034" s="2" t="s">
        <v>8</v>
      </c>
      <c r="E2034" s="2" t="s">
        <v>13</v>
      </c>
      <c r="F2034" s="2" t="s">
        <v>14</v>
      </c>
      <c r="G2034" s="2">
        <v>28</v>
      </c>
      <c r="H2034" s="9">
        <v>107</v>
      </c>
    </row>
    <row r="2035" spans="2:8" x14ac:dyDescent="0.25">
      <c r="B2035" s="3">
        <v>44853</v>
      </c>
      <c r="C2035" s="2" t="s">
        <v>28</v>
      </c>
      <c r="D2035" s="2" t="s">
        <v>8</v>
      </c>
      <c r="E2035" s="2" t="s">
        <v>13</v>
      </c>
      <c r="F2035" s="2" t="s">
        <v>14</v>
      </c>
      <c r="G2035" s="2">
        <v>24</v>
      </c>
      <c r="H2035" s="9">
        <v>99</v>
      </c>
    </row>
    <row r="2036" spans="2:8" x14ac:dyDescent="0.25">
      <c r="B2036" s="3">
        <v>44853</v>
      </c>
      <c r="C2036" s="2" t="s">
        <v>29</v>
      </c>
      <c r="D2036" s="2" t="s">
        <v>18</v>
      </c>
      <c r="E2036" s="2" t="s">
        <v>13</v>
      </c>
      <c r="F2036" s="2" t="s">
        <v>16</v>
      </c>
      <c r="G2036" s="2">
        <v>50</v>
      </c>
      <c r="H2036" s="9">
        <v>136</v>
      </c>
    </row>
    <row r="2037" spans="2:8" x14ac:dyDescent="0.25">
      <c r="B2037" s="3">
        <v>44853</v>
      </c>
      <c r="C2037" s="2" t="s">
        <v>22</v>
      </c>
      <c r="D2037" s="2" t="s">
        <v>12</v>
      </c>
      <c r="E2037" s="2" t="s">
        <v>9</v>
      </c>
      <c r="F2037" s="2" t="s">
        <v>14</v>
      </c>
      <c r="G2037" s="2">
        <v>55</v>
      </c>
      <c r="H2037" s="9">
        <v>141</v>
      </c>
    </row>
    <row r="2038" spans="2:8" x14ac:dyDescent="0.25">
      <c r="B2038" s="3">
        <v>44853</v>
      </c>
      <c r="C2038" s="2" t="s">
        <v>29</v>
      </c>
      <c r="D2038" s="2" t="s">
        <v>18</v>
      </c>
      <c r="E2038" s="2" t="s">
        <v>9</v>
      </c>
      <c r="F2038" s="2" t="s">
        <v>10</v>
      </c>
      <c r="G2038" s="2">
        <v>19</v>
      </c>
      <c r="H2038" s="9">
        <v>77</v>
      </c>
    </row>
    <row r="2039" spans="2:8" x14ac:dyDescent="0.25">
      <c r="B2039" s="3">
        <v>44854</v>
      </c>
      <c r="C2039" s="2" t="s">
        <v>27</v>
      </c>
      <c r="D2039" s="2" t="s">
        <v>18</v>
      </c>
      <c r="E2039" s="2" t="s">
        <v>13</v>
      </c>
      <c r="F2039" s="2" t="s">
        <v>14</v>
      </c>
      <c r="G2039" s="2">
        <v>10</v>
      </c>
      <c r="H2039" s="9">
        <v>91</v>
      </c>
    </row>
    <row r="2040" spans="2:8" x14ac:dyDescent="0.25">
      <c r="B2040" s="3">
        <v>44854</v>
      </c>
      <c r="C2040" s="2" t="s">
        <v>11</v>
      </c>
      <c r="D2040" s="2" t="s">
        <v>12</v>
      </c>
      <c r="E2040" s="2" t="s">
        <v>13</v>
      </c>
      <c r="F2040" s="2" t="s">
        <v>10</v>
      </c>
      <c r="G2040" s="2">
        <v>67</v>
      </c>
      <c r="H2040" s="9">
        <v>133</v>
      </c>
    </row>
    <row r="2041" spans="2:8" x14ac:dyDescent="0.25">
      <c r="B2041" s="3">
        <v>44854</v>
      </c>
      <c r="C2041" s="2" t="s">
        <v>24</v>
      </c>
      <c r="D2041" s="2" t="s">
        <v>18</v>
      </c>
      <c r="E2041" s="2" t="s">
        <v>13</v>
      </c>
      <c r="F2041" s="2" t="s">
        <v>16</v>
      </c>
      <c r="G2041" s="2">
        <v>26</v>
      </c>
      <c r="H2041" s="9">
        <v>115</v>
      </c>
    </row>
    <row r="2042" spans="2:8" x14ac:dyDescent="0.25">
      <c r="B2042" s="3">
        <v>44854</v>
      </c>
      <c r="C2042" s="2" t="s">
        <v>19</v>
      </c>
      <c r="D2042" s="2" t="s">
        <v>12</v>
      </c>
      <c r="E2042" s="2" t="s">
        <v>9</v>
      </c>
      <c r="F2042" s="2" t="s">
        <v>16</v>
      </c>
      <c r="G2042" s="2">
        <v>10</v>
      </c>
      <c r="H2042" s="9">
        <v>140</v>
      </c>
    </row>
    <row r="2043" spans="2:8" x14ac:dyDescent="0.25">
      <c r="B2043" s="3">
        <v>44854</v>
      </c>
      <c r="C2043" s="2" t="s">
        <v>23</v>
      </c>
      <c r="D2043" s="2" t="s">
        <v>18</v>
      </c>
      <c r="E2043" s="2" t="s">
        <v>9</v>
      </c>
      <c r="F2043" s="2" t="s">
        <v>14</v>
      </c>
      <c r="G2043" s="2">
        <v>10</v>
      </c>
      <c r="H2043" s="9">
        <v>135</v>
      </c>
    </row>
    <row r="2044" spans="2:8" x14ac:dyDescent="0.25">
      <c r="B2044" s="3">
        <v>44855</v>
      </c>
      <c r="C2044" s="2" t="s">
        <v>24</v>
      </c>
      <c r="D2044" s="2" t="s">
        <v>18</v>
      </c>
      <c r="E2044" s="2" t="s">
        <v>13</v>
      </c>
      <c r="F2044" s="2" t="s">
        <v>10</v>
      </c>
      <c r="G2044" s="2">
        <v>26</v>
      </c>
      <c r="H2044" s="9">
        <v>137</v>
      </c>
    </row>
    <row r="2045" spans="2:8" x14ac:dyDescent="0.25">
      <c r="B2045" s="3">
        <v>44855</v>
      </c>
      <c r="C2045" s="2" t="s">
        <v>20</v>
      </c>
      <c r="D2045" s="2" t="s">
        <v>8</v>
      </c>
      <c r="E2045" s="2" t="s">
        <v>9</v>
      </c>
      <c r="F2045" s="2" t="s">
        <v>14</v>
      </c>
      <c r="G2045" s="2">
        <v>56</v>
      </c>
      <c r="H2045" s="9">
        <v>24</v>
      </c>
    </row>
    <row r="2046" spans="2:8" x14ac:dyDescent="0.25">
      <c r="B2046" s="3">
        <v>44855</v>
      </c>
      <c r="C2046" s="2" t="s">
        <v>24</v>
      </c>
      <c r="D2046" s="2" t="s">
        <v>18</v>
      </c>
      <c r="E2046" s="2" t="s">
        <v>9</v>
      </c>
      <c r="F2046" s="2" t="s">
        <v>16</v>
      </c>
      <c r="G2046" s="2">
        <v>13</v>
      </c>
      <c r="H2046" s="9">
        <v>103</v>
      </c>
    </row>
    <row r="2047" spans="2:8" x14ac:dyDescent="0.25">
      <c r="B2047" s="3">
        <v>44855</v>
      </c>
      <c r="C2047" s="2" t="s">
        <v>21</v>
      </c>
      <c r="D2047" s="2" t="s">
        <v>8</v>
      </c>
      <c r="E2047" s="2" t="s">
        <v>9</v>
      </c>
      <c r="F2047" s="2" t="s">
        <v>16</v>
      </c>
      <c r="G2047" s="2">
        <v>83</v>
      </c>
      <c r="H2047" s="9">
        <v>127</v>
      </c>
    </row>
    <row r="2048" spans="2:8" x14ac:dyDescent="0.25">
      <c r="B2048" s="3">
        <v>44855</v>
      </c>
      <c r="C2048" s="2" t="s">
        <v>29</v>
      </c>
      <c r="D2048" s="2" t="s">
        <v>18</v>
      </c>
      <c r="E2048" s="2" t="s">
        <v>13</v>
      </c>
      <c r="F2048" s="2" t="s">
        <v>14</v>
      </c>
      <c r="G2048" s="2">
        <v>28</v>
      </c>
      <c r="H2048" s="9">
        <v>132</v>
      </c>
    </row>
    <row r="2049" spans="2:8" x14ac:dyDescent="0.25">
      <c r="B2049" s="3">
        <v>44855</v>
      </c>
      <c r="C2049" s="2" t="s">
        <v>19</v>
      </c>
      <c r="D2049" s="2" t="s">
        <v>12</v>
      </c>
      <c r="E2049" s="2" t="s">
        <v>9</v>
      </c>
      <c r="F2049" s="2" t="s">
        <v>16</v>
      </c>
      <c r="G2049" s="2">
        <v>67</v>
      </c>
      <c r="H2049" s="9">
        <v>42</v>
      </c>
    </row>
    <row r="2050" spans="2:8" x14ac:dyDescent="0.25">
      <c r="B2050" s="3">
        <v>44855</v>
      </c>
      <c r="C2050" s="2" t="s">
        <v>11</v>
      </c>
      <c r="D2050" s="2" t="s">
        <v>12</v>
      </c>
      <c r="E2050" s="2" t="s">
        <v>13</v>
      </c>
      <c r="F2050" s="2" t="s">
        <v>10</v>
      </c>
      <c r="G2050" s="2">
        <v>43</v>
      </c>
      <c r="H2050" s="9">
        <v>120</v>
      </c>
    </row>
    <row r="2051" spans="2:8" x14ac:dyDescent="0.25">
      <c r="B2051" s="3">
        <v>44855</v>
      </c>
      <c r="C2051" s="2" t="s">
        <v>24</v>
      </c>
      <c r="D2051" s="2" t="s">
        <v>18</v>
      </c>
      <c r="E2051" s="2" t="s">
        <v>9</v>
      </c>
      <c r="F2051" s="2" t="s">
        <v>16</v>
      </c>
      <c r="G2051" s="2">
        <v>19</v>
      </c>
      <c r="H2051" s="9">
        <v>51</v>
      </c>
    </row>
    <row r="2052" spans="2:8" x14ac:dyDescent="0.25">
      <c r="B2052" s="3">
        <v>44855</v>
      </c>
      <c r="C2052" s="2" t="s">
        <v>15</v>
      </c>
      <c r="D2052" s="2" t="s">
        <v>8</v>
      </c>
      <c r="E2052" s="2" t="s">
        <v>13</v>
      </c>
      <c r="F2052" s="2" t="s">
        <v>14</v>
      </c>
      <c r="G2052" s="2">
        <v>27</v>
      </c>
      <c r="H2052" s="9">
        <v>115</v>
      </c>
    </row>
    <row r="2053" spans="2:8" x14ac:dyDescent="0.25">
      <c r="B2053" s="3">
        <v>44856</v>
      </c>
      <c r="C2053" s="2" t="s">
        <v>7</v>
      </c>
      <c r="D2053" s="2" t="s">
        <v>8</v>
      </c>
      <c r="E2053" s="2" t="s">
        <v>13</v>
      </c>
      <c r="F2053" s="2" t="s">
        <v>10</v>
      </c>
      <c r="G2053" s="2">
        <v>57</v>
      </c>
      <c r="H2053" s="9">
        <v>68</v>
      </c>
    </row>
    <row r="2054" spans="2:8" x14ac:dyDescent="0.25">
      <c r="B2054" s="3">
        <v>44856</v>
      </c>
      <c r="C2054" s="2" t="s">
        <v>26</v>
      </c>
      <c r="D2054" s="2" t="s">
        <v>12</v>
      </c>
      <c r="E2054" s="2" t="s">
        <v>13</v>
      </c>
      <c r="F2054" s="2" t="s">
        <v>16</v>
      </c>
      <c r="G2054" s="2">
        <v>68</v>
      </c>
      <c r="H2054" s="9">
        <v>131</v>
      </c>
    </row>
    <row r="2055" spans="2:8" x14ac:dyDescent="0.25">
      <c r="B2055" s="3">
        <v>44856</v>
      </c>
      <c r="C2055" s="2" t="s">
        <v>23</v>
      </c>
      <c r="D2055" s="2" t="s">
        <v>18</v>
      </c>
      <c r="E2055" s="2" t="s">
        <v>9</v>
      </c>
      <c r="F2055" s="2" t="s">
        <v>10</v>
      </c>
      <c r="G2055" s="2">
        <v>98</v>
      </c>
      <c r="H2055" s="9">
        <v>39</v>
      </c>
    </row>
    <row r="2056" spans="2:8" x14ac:dyDescent="0.25">
      <c r="B2056" s="3">
        <v>44856</v>
      </c>
      <c r="C2056" s="2" t="s">
        <v>22</v>
      </c>
      <c r="D2056" s="2" t="s">
        <v>12</v>
      </c>
      <c r="E2056" s="2" t="s">
        <v>9</v>
      </c>
      <c r="F2056" s="2" t="s">
        <v>10</v>
      </c>
      <c r="G2056" s="2">
        <v>65</v>
      </c>
      <c r="H2056" s="9">
        <v>110</v>
      </c>
    </row>
    <row r="2057" spans="2:8" x14ac:dyDescent="0.25">
      <c r="B2057" s="3">
        <v>44856</v>
      </c>
      <c r="C2057" s="2" t="s">
        <v>27</v>
      </c>
      <c r="D2057" s="2" t="s">
        <v>18</v>
      </c>
      <c r="E2057" s="2" t="s">
        <v>9</v>
      </c>
      <c r="F2057" s="2" t="s">
        <v>16</v>
      </c>
      <c r="G2057" s="2">
        <v>26</v>
      </c>
      <c r="H2057" s="9">
        <v>25</v>
      </c>
    </row>
    <row r="2058" spans="2:8" x14ac:dyDescent="0.25">
      <c r="B2058" s="3">
        <v>44856</v>
      </c>
      <c r="C2058" s="2" t="s">
        <v>17</v>
      </c>
      <c r="D2058" s="2" t="s">
        <v>18</v>
      </c>
      <c r="E2058" s="2" t="s">
        <v>13</v>
      </c>
      <c r="F2058" s="2" t="s">
        <v>16</v>
      </c>
      <c r="G2058" s="2">
        <v>19</v>
      </c>
      <c r="H2058" s="9">
        <v>22</v>
      </c>
    </row>
    <row r="2059" spans="2:8" x14ac:dyDescent="0.25">
      <c r="B2059" s="3">
        <v>44856</v>
      </c>
      <c r="C2059" s="2" t="s">
        <v>7</v>
      </c>
      <c r="D2059" s="2" t="s">
        <v>8</v>
      </c>
      <c r="E2059" s="2" t="s">
        <v>9</v>
      </c>
      <c r="F2059" s="2" t="s">
        <v>10</v>
      </c>
      <c r="G2059" s="2">
        <v>99</v>
      </c>
      <c r="H2059" s="9">
        <v>70</v>
      </c>
    </row>
    <row r="2060" spans="2:8" x14ac:dyDescent="0.25">
      <c r="B2060" s="3">
        <v>44857</v>
      </c>
      <c r="C2060" s="2" t="s">
        <v>24</v>
      </c>
      <c r="D2060" s="2" t="s">
        <v>18</v>
      </c>
      <c r="E2060" s="2" t="s">
        <v>9</v>
      </c>
      <c r="F2060" s="2" t="s">
        <v>14</v>
      </c>
      <c r="G2060" s="2">
        <v>95</v>
      </c>
      <c r="H2060" s="9">
        <v>97</v>
      </c>
    </row>
    <row r="2061" spans="2:8" x14ac:dyDescent="0.25">
      <c r="B2061" s="3">
        <v>44857</v>
      </c>
      <c r="C2061" s="2" t="s">
        <v>23</v>
      </c>
      <c r="D2061" s="2" t="s">
        <v>18</v>
      </c>
      <c r="E2061" s="2" t="s">
        <v>9</v>
      </c>
      <c r="F2061" s="2" t="s">
        <v>10</v>
      </c>
      <c r="G2061" s="2">
        <v>37</v>
      </c>
      <c r="H2061" s="9">
        <v>69</v>
      </c>
    </row>
    <row r="2062" spans="2:8" x14ac:dyDescent="0.25">
      <c r="B2062" s="3">
        <v>44857</v>
      </c>
      <c r="C2062" s="2" t="s">
        <v>21</v>
      </c>
      <c r="D2062" s="2" t="s">
        <v>8</v>
      </c>
      <c r="E2062" s="2" t="s">
        <v>9</v>
      </c>
      <c r="F2062" s="2" t="s">
        <v>16</v>
      </c>
      <c r="G2062" s="2">
        <v>20</v>
      </c>
      <c r="H2062" s="9">
        <v>126</v>
      </c>
    </row>
    <row r="2063" spans="2:8" x14ac:dyDescent="0.25">
      <c r="B2063" s="3">
        <v>44857</v>
      </c>
      <c r="C2063" s="2" t="s">
        <v>22</v>
      </c>
      <c r="D2063" s="2" t="s">
        <v>12</v>
      </c>
      <c r="E2063" s="2" t="s">
        <v>13</v>
      </c>
      <c r="F2063" s="2" t="s">
        <v>16</v>
      </c>
      <c r="G2063" s="2">
        <v>100</v>
      </c>
      <c r="H2063" s="9">
        <v>71</v>
      </c>
    </row>
    <row r="2064" spans="2:8" x14ac:dyDescent="0.25">
      <c r="B2064" s="3">
        <v>44857</v>
      </c>
      <c r="C2064" s="2" t="s">
        <v>19</v>
      </c>
      <c r="D2064" s="2" t="s">
        <v>12</v>
      </c>
      <c r="E2064" s="2" t="s">
        <v>9</v>
      </c>
      <c r="F2064" s="2" t="s">
        <v>10</v>
      </c>
      <c r="G2064" s="2">
        <v>36</v>
      </c>
      <c r="H2064" s="9">
        <v>47</v>
      </c>
    </row>
    <row r="2065" spans="2:8" x14ac:dyDescent="0.25">
      <c r="B2065" s="3">
        <v>44857</v>
      </c>
      <c r="C2065" s="2" t="s">
        <v>24</v>
      </c>
      <c r="D2065" s="2" t="s">
        <v>18</v>
      </c>
      <c r="E2065" s="2" t="s">
        <v>9</v>
      </c>
      <c r="F2065" s="2" t="s">
        <v>14</v>
      </c>
      <c r="G2065" s="2">
        <v>59</v>
      </c>
      <c r="H2065" s="9">
        <v>144</v>
      </c>
    </row>
    <row r="2066" spans="2:8" x14ac:dyDescent="0.25">
      <c r="B2066" s="3">
        <v>44858</v>
      </c>
      <c r="C2066" s="2" t="s">
        <v>21</v>
      </c>
      <c r="D2066" s="2" t="s">
        <v>8</v>
      </c>
      <c r="E2066" s="2" t="s">
        <v>9</v>
      </c>
      <c r="F2066" s="2" t="s">
        <v>14</v>
      </c>
      <c r="G2066" s="2">
        <v>86</v>
      </c>
      <c r="H2066" s="9">
        <v>36</v>
      </c>
    </row>
    <row r="2067" spans="2:8" x14ac:dyDescent="0.25">
      <c r="B2067" s="3">
        <v>44858</v>
      </c>
      <c r="C2067" s="2" t="s">
        <v>15</v>
      </c>
      <c r="D2067" s="2" t="s">
        <v>8</v>
      </c>
      <c r="E2067" s="2" t="s">
        <v>9</v>
      </c>
      <c r="F2067" s="2" t="s">
        <v>10</v>
      </c>
      <c r="G2067" s="2">
        <v>20</v>
      </c>
      <c r="H2067" s="9">
        <v>41</v>
      </c>
    </row>
    <row r="2068" spans="2:8" x14ac:dyDescent="0.25">
      <c r="B2068" s="3">
        <v>44858</v>
      </c>
      <c r="C2068" s="2" t="s">
        <v>24</v>
      </c>
      <c r="D2068" s="2" t="s">
        <v>18</v>
      </c>
      <c r="E2068" s="2" t="s">
        <v>13</v>
      </c>
      <c r="F2068" s="2" t="s">
        <v>10</v>
      </c>
      <c r="G2068" s="2">
        <v>94</v>
      </c>
      <c r="H2068" s="9">
        <v>79</v>
      </c>
    </row>
    <row r="2069" spans="2:8" x14ac:dyDescent="0.25">
      <c r="B2069" s="3">
        <v>44858</v>
      </c>
      <c r="C2069" s="2" t="s">
        <v>17</v>
      </c>
      <c r="D2069" s="2" t="s">
        <v>18</v>
      </c>
      <c r="E2069" s="2" t="s">
        <v>9</v>
      </c>
      <c r="F2069" s="2" t="s">
        <v>10</v>
      </c>
      <c r="G2069" s="2">
        <v>77</v>
      </c>
      <c r="H2069" s="9">
        <v>69</v>
      </c>
    </row>
    <row r="2070" spans="2:8" x14ac:dyDescent="0.25">
      <c r="B2070" s="3">
        <v>44858</v>
      </c>
      <c r="C2070" s="2" t="s">
        <v>27</v>
      </c>
      <c r="D2070" s="2" t="s">
        <v>18</v>
      </c>
      <c r="E2070" s="2" t="s">
        <v>9</v>
      </c>
      <c r="F2070" s="2" t="s">
        <v>14</v>
      </c>
      <c r="G2070" s="2">
        <v>51</v>
      </c>
      <c r="H2070" s="9">
        <v>79</v>
      </c>
    </row>
    <row r="2071" spans="2:8" x14ac:dyDescent="0.25">
      <c r="B2071" s="3">
        <v>44858</v>
      </c>
      <c r="C2071" s="2" t="s">
        <v>24</v>
      </c>
      <c r="D2071" s="2" t="s">
        <v>18</v>
      </c>
      <c r="E2071" s="2" t="s">
        <v>9</v>
      </c>
      <c r="F2071" s="2" t="s">
        <v>16</v>
      </c>
      <c r="G2071" s="2">
        <v>31</v>
      </c>
      <c r="H2071" s="9">
        <v>39</v>
      </c>
    </row>
    <row r="2072" spans="2:8" x14ac:dyDescent="0.25">
      <c r="B2072" s="3">
        <v>44858</v>
      </c>
      <c r="C2072" s="2" t="s">
        <v>29</v>
      </c>
      <c r="D2072" s="2" t="s">
        <v>18</v>
      </c>
      <c r="E2072" s="2" t="s">
        <v>13</v>
      </c>
      <c r="F2072" s="2" t="s">
        <v>16</v>
      </c>
      <c r="G2072" s="2">
        <v>63</v>
      </c>
      <c r="H2072" s="9">
        <v>38</v>
      </c>
    </row>
    <row r="2073" spans="2:8" x14ac:dyDescent="0.25">
      <c r="B2073" s="3">
        <v>44858</v>
      </c>
      <c r="C2073" s="2" t="s">
        <v>22</v>
      </c>
      <c r="D2073" s="2" t="s">
        <v>12</v>
      </c>
      <c r="E2073" s="2" t="s">
        <v>9</v>
      </c>
      <c r="F2073" s="2" t="s">
        <v>10</v>
      </c>
      <c r="G2073" s="2">
        <v>91</v>
      </c>
      <c r="H2073" s="9">
        <v>79</v>
      </c>
    </row>
    <row r="2074" spans="2:8" x14ac:dyDescent="0.25">
      <c r="B2074" s="3">
        <v>44858</v>
      </c>
      <c r="C2074" s="2" t="s">
        <v>21</v>
      </c>
      <c r="D2074" s="2" t="s">
        <v>8</v>
      </c>
      <c r="E2074" s="2" t="s">
        <v>9</v>
      </c>
      <c r="F2074" s="2" t="s">
        <v>16</v>
      </c>
      <c r="G2074" s="2">
        <v>11</v>
      </c>
      <c r="H2074" s="9">
        <v>127</v>
      </c>
    </row>
    <row r="2075" spans="2:8" x14ac:dyDescent="0.25">
      <c r="B2075" s="3">
        <v>44859</v>
      </c>
      <c r="C2075" s="2" t="s">
        <v>27</v>
      </c>
      <c r="D2075" s="2" t="s">
        <v>18</v>
      </c>
      <c r="E2075" s="2" t="s">
        <v>13</v>
      </c>
      <c r="F2075" s="2" t="s">
        <v>10</v>
      </c>
      <c r="G2075" s="2">
        <v>43</v>
      </c>
      <c r="H2075" s="9">
        <v>46</v>
      </c>
    </row>
    <row r="2076" spans="2:8" x14ac:dyDescent="0.25">
      <c r="B2076" s="3">
        <v>44859</v>
      </c>
      <c r="C2076" s="2" t="s">
        <v>29</v>
      </c>
      <c r="D2076" s="2" t="s">
        <v>18</v>
      </c>
      <c r="E2076" s="2" t="s">
        <v>9</v>
      </c>
      <c r="F2076" s="2" t="s">
        <v>16</v>
      </c>
      <c r="G2076" s="2">
        <v>60</v>
      </c>
      <c r="H2076" s="9">
        <v>114</v>
      </c>
    </row>
    <row r="2077" spans="2:8" x14ac:dyDescent="0.25">
      <c r="B2077" s="3">
        <v>44859</v>
      </c>
      <c r="C2077" s="2" t="s">
        <v>11</v>
      </c>
      <c r="D2077" s="2" t="s">
        <v>12</v>
      </c>
      <c r="E2077" s="2" t="s">
        <v>9</v>
      </c>
      <c r="F2077" s="2" t="s">
        <v>16</v>
      </c>
      <c r="G2077" s="2">
        <v>65</v>
      </c>
      <c r="H2077" s="9">
        <v>36</v>
      </c>
    </row>
    <row r="2078" spans="2:8" x14ac:dyDescent="0.25">
      <c r="B2078" s="3">
        <v>44859</v>
      </c>
      <c r="C2078" s="2" t="s">
        <v>24</v>
      </c>
      <c r="D2078" s="2" t="s">
        <v>18</v>
      </c>
      <c r="E2078" s="2" t="s">
        <v>9</v>
      </c>
      <c r="F2078" s="2" t="s">
        <v>16</v>
      </c>
      <c r="G2078" s="2">
        <v>66</v>
      </c>
      <c r="H2078" s="9">
        <v>92</v>
      </c>
    </row>
    <row r="2079" spans="2:8" x14ac:dyDescent="0.25">
      <c r="B2079" s="3">
        <v>44859</v>
      </c>
      <c r="C2079" s="2" t="s">
        <v>19</v>
      </c>
      <c r="D2079" s="2" t="s">
        <v>12</v>
      </c>
      <c r="E2079" s="2" t="s">
        <v>9</v>
      </c>
      <c r="F2079" s="2" t="s">
        <v>16</v>
      </c>
      <c r="G2079" s="2">
        <v>20</v>
      </c>
      <c r="H2079" s="9">
        <v>129</v>
      </c>
    </row>
    <row r="2080" spans="2:8" x14ac:dyDescent="0.25">
      <c r="B2080" s="3">
        <v>44860</v>
      </c>
      <c r="C2080" s="2" t="s">
        <v>21</v>
      </c>
      <c r="D2080" s="2" t="s">
        <v>8</v>
      </c>
      <c r="E2080" s="2" t="s">
        <v>13</v>
      </c>
      <c r="F2080" s="2" t="s">
        <v>10</v>
      </c>
      <c r="G2080" s="2">
        <v>94</v>
      </c>
      <c r="H2080" s="9">
        <v>128</v>
      </c>
    </row>
    <row r="2081" spans="2:8" x14ac:dyDescent="0.25">
      <c r="B2081" s="3">
        <v>44860</v>
      </c>
      <c r="C2081" s="2" t="s">
        <v>17</v>
      </c>
      <c r="D2081" s="2" t="s">
        <v>18</v>
      </c>
      <c r="E2081" s="2" t="s">
        <v>9</v>
      </c>
      <c r="F2081" s="2" t="s">
        <v>14</v>
      </c>
      <c r="G2081" s="2">
        <v>27</v>
      </c>
      <c r="H2081" s="9">
        <v>126</v>
      </c>
    </row>
    <row r="2082" spans="2:8" x14ac:dyDescent="0.25">
      <c r="B2082" s="3">
        <v>44860</v>
      </c>
      <c r="C2082" s="2" t="s">
        <v>15</v>
      </c>
      <c r="D2082" s="2" t="s">
        <v>8</v>
      </c>
      <c r="E2082" s="2" t="s">
        <v>13</v>
      </c>
      <c r="F2082" s="2" t="s">
        <v>16</v>
      </c>
      <c r="G2082" s="2">
        <v>14</v>
      </c>
      <c r="H2082" s="9">
        <v>140</v>
      </c>
    </row>
    <row r="2083" spans="2:8" x14ac:dyDescent="0.25">
      <c r="B2083" s="3">
        <v>44860</v>
      </c>
      <c r="C2083" s="2" t="s">
        <v>22</v>
      </c>
      <c r="D2083" s="2" t="s">
        <v>12</v>
      </c>
      <c r="E2083" s="2" t="s">
        <v>9</v>
      </c>
      <c r="F2083" s="2" t="s">
        <v>14</v>
      </c>
      <c r="G2083" s="2">
        <v>24</v>
      </c>
      <c r="H2083" s="9">
        <v>135</v>
      </c>
    </row>
    <row r="2084" spans="2:8" x14ac:dyDescent="0.25">
      <c r="B2084" s="3">
        <v>44860</v>
      </c>
      <c r="C2084" s="2" t="s">
        <v>15</v>
      </c>
      <c r="D2084" s="2" t="s">
        <v>8</v>
      </c>
      <c r="E2084" s="2" t="s">
        <v>13</v>
      </c>
      <c r="F2084" s="2" t="s">
        <v>10</v>
      </c>
      <c r="G2084" s="2">
        <v>77</v>
      </c>
      <c r="H2084" s="9">
        <v>71</v>
      </c>
    </row>
    <row r="2085" spans="2:8" x14ac:dyDescent="0.25">
      <c r="B2085" s="3">
        <v>44860</v>
      </c>
      <c r="C2085" s="2" t="s">
        <v>15</v>
      </c>
      <c r="D2085" s="2" t="s">
        <v>8</v>
      </c>
      <c r="E2085" s="2" t="s">
        <v>13</v>
      </c>
      <c r="F2085" s="2" t="s">
        <v>10</v>
      </c>
      <c r="G2085" s="2">
        <v>55</v>
      </c>
      <c r="H2085" s="9">
        <v>37</v>
      </c>
    </row>
    <row r="2086" spans="2:8" x14ac:dyDescent="0.25">
      <c r="B2086" s="3">
        <v>44861</v>
      </c>
      <c r="C2086" s="2" t="s">
        <v>28</v>
      </c>
      <c r="D2086" s="2" t="s">
        <v>8</v>
      </c>
      <c r="E2086" s="2" t="s">
        <v>13</v>
      </c>
      <c r="F2086" s="2" t="s">
        <v>16</v>
      </c>
      <c r="G2086" s="2">
        <v>50</v>
      </c>
      <c r="H2086" s="9">
        <v>124</v>
      </c>
    </row>
    <row r="2087" spans="2:8" x14ac:dyDescent="0.25">
      <c r="B2087" s="3">
        <v>44861</v>
      </c>
      <c r="C2087" s="2" t="s">
        <v>19</v>
      </c>
      <c r="D2087" s="2" t="s">
        <v>12</v>
      </c>
      <c r="E2087" s="2" t="s">
        <v>9</v>
      </c>
      <c r="F2087" s="2" t="s">
        <v>14</v>
      </c>
      <c r="G2087" s="2">
        <v>66</v>
      </c>
      <c r="H2087" s="9">
        <v>87</v>
      </c>
    </row>
    <row r="2088" spans="2:8" x14ac:dyDescent="0.25">
      <c r="B2088" s="3">
        <v>44861</v>
      </c>
      <c r="C2088" s="2" t="s">
        <v>20</v>
      </c>
      <c r="D2088" s="2" t="s">
        <v>8</v>
      </c>
      <c r="E2088" s="2" t="s">
        <v>9</v>
      </c>
      <c r="F2088" s="2" t="s">
        <v>10</v>
      </c>
      <c r="G2088" s="2">
        <v>61</v>
      </c>
      <c r="H2088" s="9">
        <v>91</v>
      </c>
    </row>
    <row r="2089" spans="2:8" x14ac:dyDescent="0.25">
      <c r="B2089" s="3">
        <v>44861</v>
      </c>
      <c r="C2089" s="2" t="s">
        <v>28</v>
      </c>
      <c r="D2089" s="2" t="s">
        <v>8</v>
      </c>
      <c r="E2089" s="2" t="s">
        <v>9</v>
      </c>
      <c r="F2089" s="2" t="s">
        <v>16</v>
      </c>
      <c r="G2089" s="2">
        <v>92</v>
      </c>
      <c r="H2089" s="9">
        <v>140</v>
      </c>
    </row>
    <row r="2090" spans="2:8" x14ac:dyDescent="0.25">
      <c r="B2090" s="3">
        <v>44861</v>
      </c>
      <c r="C2090" s="2" t="s">
        <v>28</v>
      </c>
      <c r="D2090" s="2" t="s">
        <v>8</v>
      </c>
      <c r="E2090" s="2" t="s">
        <v>13</v>
      </c>
      <c r="F2090" s="2" t="s">
        <v>14</v>
      </c>
      <c r="G2090" s="2">
        <v>82</v>
      </c>
      <c r="H2090" s="9">
        <v>49</v>
      </c>
    </row>
    <row r="2091" spans="2:8" x14ac:dyDescent="0.25">
      <c r="B2091" s="3">
        <v>44861</v>
      </c>
      <c r="C2091" s="2" t="s">
        <v>17</v>
      </c>
      <c r="D2091" s="2" t="s">
        <v>18</v>
      </c>
      <c r="E2091" s="2" t="s">
        <v>13</v>
      </c>
      <c r="F2091" s="2" t="s">
        <v>16</v>
      </c>
      <c r="G2091" s="2">
        <v>42</v>
      </c>
      <c r="H2091" s="9">
        <v>44</v>
      </c>
    </row>
    <row r="2092" spans="2:8" x14ac:dyDescent="0.25">
      <c r="B2092" s="3">
        <v>44862</v>
      </c>
      <c r="C2092" s="2" t="s">
        <v>24</v>
      </c>
      <c r="D2092" s="2" t="s">
        <v>18</v>
      </c>
      <c r="E2092" s="2" t="s">
        <v>9</v>
      </c>
      <c r="F2092" s="2" t="s">
        <v>10</v>
      </c>
      <c r="G2092" s="2">
        <v>59</v>
      </c>
      <c r="H2092" s="9">
        <v>102</v>
      </c>
    </row>
    <row r="2093" spans="2:8" x14ac:dyDescent="0.25">
      <c r="B2093" s="3">
        <v>44862</v>
      </c>
      <c r="C2093" s="2" t="s">
        <v>24</v>
      </c>
      <c r="D2093" s="2" t="s">
        <v>18</v>
      </c>
      <c r="E2093" s="2" t="s">
        <v>13</v>
      </c>
      <c r="F2093" s="2" t="s">
        <v>10</v>
      </c>
      <c r="G2093" s="2">
        <v>15</v>
      </c>
      <c r="H2093" s="9">
        <v>121</v>
      </c>
    </row>
    <row r="2094" spans="2:8" x14ac:dyDescent="0.25">
      <c r="B2094" s="3">
        <v>44862</v>
      </c>
      <c r="C2094" s="2" t="s">
        <v>7</v>
      </c>
      <c r="D2094" s="2" t="s">
        <v>8</v>
      </c>
      <c r="E2094" s="2" t="s">
        <v>9</v>
      </c>
      <c r="F2094" s="2" t="s">
        <v>14</v>
      </c>
      <c r="G2094" s="2">
        <v>94</v>
      </c>
      <c r="H2094" s="9">
        <v>80</v>
      </c>
    </row>
    <row r="2095" spans="2:8" x14ac:dyDescent="0.25">
      <c r="B2095" s="3">
        <v>44862</v>
      </c>
      <c r="C2095" s="2" t="s">
        <v>7</v>
      </c>
      <c r="D2095" s="2" t="s">
        <v>8</v>
      </c>
      <c r="E2095" s="2" t="s">
        <v>9</v>
      </c>
      <c r="F2095" s="2" t="s">
        <v>10</v>
      </c>
      <c r="G2095" s="2">
        <v>74</v>
      </c>
      <c r="H2095" s="9">
        <v>114</v>
      </c>
    </row>
    <row r="2096" spans="2:8" x14ac:dyDescent="0.25">
      <c r="B2096" s="3">
        <v>44862</v>
      </c>
      <c r="C2096" s="2" t="s">
        <v>25</v>
      </c>
      <c r="D2096" s="2" t="s">
        <v>12</v>
      </c>
      <c r="E2096" s="2" t="s">
        <v>13</v>
      </c>
      <c r="F2096" s="2" t="s">
        <v>16</v>
      </c>
      <c r="G2096" s="2">
        <v>43</v>
      </c>
      <c r="H2096" s="9">
        <v>35</v>
      </c>
    </row>
    <row r="2097" spans="2:8" x14ac:dyDescent="0.25">
      <c r="B2097" s="3">
        <v>44862</v>
      </c>
      <c r="C2097" s="2" t="s">
        <v>7</v>
      </c>
      <c r="D2097" s="2" t="s">
        <v>8</v>
      </c>
      <c r="E2097" s="2" t="s">
        <v>9</v>
      </c>
      <c r="F2097" s="2" t="s">
        <v>14</v>
      </c>
      <c r="G2097" s="2">
        <v>98</v>
      </c>
      <c r="H2097" s="9">
        <v>69</v>
      </c>
    </row>
    <row r="2098" spans="2:8" x14ac:dyDescent="0.25">
      <c r="B2098" s="3">
        <v>44862</v>
      </c>
      <c r="C2098" s="2" t="s">
        <v>28</v>
      </c>
      <c r="D2098" s="2" t="s">
        <v>8</v>
      </c>
      <c r="E2098" s="2" t="s">
        <v>13</v>
      </c>
      <c r="F2098" s="2" t="s">
        <v>16</v>
      </c>
      <c r="G2098" s="2">
        <v>75</v>
      </c>
      <c r="H2098" s="9">
        <v>40</v>
      </c>
    </row>
    <row r="2099" spans="2:8" x14ac:dyDescent="0.25">
      <c r="B2099" s="3">
        <v>44862</v>
      </c>
      <c r="C2099" s="2" t="s">
        <v>25</v>
      </c>
      <c r="D2099" s="2" t="s">
        <v>12</v>
      </c>
      <c r="E2099" s="2" t="s">
        <v>9</v>
      </c>
      <c r="F2099" s="2" t="s">
        <v>14</v>
      </c>
      <c r="G2099" s="2">
        <v>58</v>
      </c>
      <c r="H2099" s="9">
        <v>60</v>
      </c>
    </row>
    <row r="2100" spans="2:8" x14ac:dyDescent="0.25">
      <c r="B2100" s="3">
        <v>44863</v>
      </c>
      <c r="C2100" s="2" t="s">
        <v>23</v>
      </c>
      <c r="D2100" s="2" t="s">
        <v>18</v>
      </c>
      <c r="E2100" s="2" t="s">
        <v>9</v>
      </c>
      <c r="F2100" s="2" t="s">
        <v>16</v>
      </c>
      <c r="G2100" s="2">
        <v>74</v>
      </c>
      <c r="H2100" s="9">
        <v>49</v>
      </c>
    </row>
    <row r="2101" spans="2:8" x14ac:dyDescent="0.25">
      <c r="B2101" s="3">
        <v>44863</v>
      </c>
      <c r="C2101" s="2" t="s">
        <v>29</v>
      </c>
      <c r="D2101" s="2" t="s">
        <v>18</v>
      </c>
      <c r="E2101" s="2" t="s">
        <v>9</v>
      </c>
      <c r="F2101" s="2" t="s">
        <v>16</v>
      </c>
      <c r="G2101" s="2">
        <v>100</v>
      </c>
      <c r="H2101" s="9">
        <v>68</v>
      </c>
    </row>
    <row r="2102" spans="2:8" x14ac:dyDescent="0.25">
      <c r="B2102" s="3">
        <v>44863</v>
      </c>
      <c r="C2102" s="2" t="s">
        <v>24</v>
      </c>
      <c r="D2102" s="2" t="s">
        <v>18</v>
      </c>
      <c r="E2102" s="2" t="s">
        <v>9</v>
      </c>
      <c r="F2102" s="2" t="s">
        <v>10</v>
      </c>
      <c r="G2102" s="2">
        <v>90</v>
      </c>
      <c r="H2102" s="9">
        <v>77</v>
      </c>
    </row>
    <row r="2103" spans="2:8" x14ac:dyDescent="0.25">
      <c r="B2103" s="3">
        <v>44863</v>
      </c>
      <c r="C2103" s="2" t="s">
        <v>15</v>
      </c>
      <c r="D2103" s="2" t="s">
        <v>8</v>
      </c>
      <c r="E2103" s="2" t="s">
        <v>9</v>
      </c>
      <c r="F2103" s="2" t="s">
        <v>10</v>
      </c>
      <c r="G2103" s="2">
        <v>36</v>
      </c>
      <c r="H2103" s="9">
        <v>66</v>
      </c>
    </row>
    <row r="2104" spans="2:8" x14ac:dyDescent="0.25">
      <c r="B2104" s="3">
        <v>44863</v>
      </c>
      <c r="C2104" s="2" t="s">
        <v>27</v>
      </c>
      <c r="D2104" s="2" t="s">
        <v>18</v>
      </c>
      <c r="E2104" s="2" t="s">
        <v>9</v>
      </c>
      <c r="F2104" s="2" t="s">
        <v>10</v>
      </c>
      <c r="G2104" s="2">
        <v>93</v>
      </c>
      <c r="H2104" s="9">
        <v>94</v>
      </c>
    </row>
    <row r="2105" spans="2:8" x14ac:dyDescent="0.25">
      <c r="B2105" s="3">
        <v>44863</v>
      </c>
      <c r="C2105" s="2" t="s">
        <v>24</v>
      </c>
      <c r="D2105" s="2" t="s">
        <v>18</v>
      </c>
      <c r="E2105" s="2" t="s">
        <v>9</v>
      </c>
      <c r="F2105" s="2" t="s">
        <v>16</v>
      </c>
      <c r="G2105" s="2">
        <v>58</v>
      </c>
      <c r="H2105" s="9">
        <v>21</v>
      </c>
    </row>
    <row r="2106" spans="2:8" x14ac:dyDescent="0.25">
      <c r="B2106" s="3">
        <v>44864</v>
      </c>
      <c r="C2106" s="2" t="s">
        <v>19</v>
      </c>
      <c r="D2106" s="2" t="s">
        <v>12</v>
      </c>
      <c r="E2106" s="2" t="s">
        <v>9</v>
      </c>
      <c r="F2106" s="2" t="s">
        <v>10</v>
      </c>
      <c r="G2106" s="2">
        <v>12</v>
      </c>
      <c r="H2106" s="9">
        <v>59</v>
      </c>
    </row>
    <row r="2107" spans="2:8" x14ac:dyDescent="0.25">
      <c r="B2107" s="3">
        <v>44864</v>
      </c>
      <c r="C2107" s="2" t="s">
        <v>28</v>
      </c>
      <c r="D2107" s="2" t="s">
        <v>8</v>
      </c>
      <c r="E2107" s="2" t="s">
        <v>13</v>
      </c>
      <c r="F2107" s="2" t="s">
        <v>14</v>
      </c>
      <c r="G2107" s="2">
        <v>85</v>
      </c>
      <c r="H2107" s="9">
        <v>70</v>
      </c>
    </row>
    <row r="2108" spans="2:8" x14ac:dyDescent="0.25">
      <c r="B2108" s="3">
        <v>44864</v>
      </c>
      <c r="C2108" s="2" t="s">
        <v>21</v>
      </c>
      <c r="D2108" s="2" t="s">
        <v>8</v>
      </c>
      <c r="E2108" s="2" t="s">
        <v>13</v>
      </c>
      <c r="F2108" s="2" t="s">
        <v>10</v>
      </c>
      <c r="G2108" s="2">
        <v>79</v>
      </c>
      <c r="H2108" s="9">
        <v>66</v>
      </c>
    </row>
    <row r="2109" spans="2:8" x14ac:dyDescent="0.25">
      <c r="B2109" s="3">
        <v>44864</v>
      </c>
      <c r="C2109" s="2" t="s">
        <v>24</v>
      </c>
      <c r="D2109" s="2" t="s">
        <v>18</v>
      </c>
      <c r="E2109" s="2" t="s">
        <v>9</v>
      </c>
      <c r="F2109" s="2" t="s">
        <v>16</v>
      </c>
      <c r="G2109" s="2">
        <v>24</v>
      </c>
      <c r="H2109" s="9">
        <v>89</v>
      </c>
    </row>
    <row r="2110" spans="2:8" x14ac:dyDescent="0.25">
      <c r="B2110" s="3">
        <v>44864</v>
      </c>
      <c r="C2110" s="2" t="s">
        <v>7</v>
      </c>
      <c r="D2110" s="2" t="s">
        <v>8</v>
      </c>
      <c r="E2110" s="2" t="s">
        <v>9</v>
      </c>
      <c r="F2110" s="2" t="s">
        <v>10</v>
      </c>
      <c r="G2110" s="2">
        <v>92</v>
      </c>
      <c r="H2110" s="9">
        <v>65</v>
      </c>
    </row>
    <row r="2111" spans="2:8" x14ac:dyDescent="0.25">
      <c r="B2111" s="3">
        <v>44865</v>
      </c>
      <c r="C2111" s="2" t="s">
        <v>22</v>
      </c>
      <c r="D2111" s="2" t="s">
        <v>12</v>
      </c>
      <c r="E2111" s="2" t="s">
        <v>13</v>
      </c>
      <c r="F2111" s="2" t="s">
        <v>10</v>
      </c>
      <c r="G2111" s="2">
        <v>32</v>
      </c>
      <c r="H2111" s="9">
        <v>122</v>
      </c>
    </row>
    <row r="2112" spans="2:8" x14ac:dyDescent="0.25">
      <c r="B2112" s="3">
        <v>44865</v>
      </c>
      <c r="C2112" s="2" t="s">
        <v>26</v>
      </c>
      <c r="D2112" s="2" t="s">
        <v>12</v>
      </c>
      <c r="E2112" s="2" t="s">
        <v>9</v>
      </c>
      <c r="F2112" s="2" t="s">
        <v>10</v>
      </c>
      <c r="G2112" s="2">
        <v>91</v>
      </c>
      <c r="H2112" s="9">
        <v>150</v>
      </c>
    </row>
    <row r="2113" spans="2:8" x14ac:dyDescent="0.25">
      <c r="B2113" s="3">
        <v>44865</v>
      </c>
      <c r="C2113" s="2" t="s">
        <v>15</v>
      </c>
      <c r="D2113" s="2" t="s">
        <v>8</v>
      </c>
      <c r="E2113" s="2" t="s">
        <v>9</v>
      </c>
      <c r="F2113" s="2" t="s">
        <v>16</v>
      </c>
      <c r="G2113" s="2">
        <v>56</v>
      </c>
      <c r="H2113" s="9">
        <v>36</v>
      </c>
    </row>
    <row r="2114" spans="2:8" x14ac:dyDescent="0.25">
      <c r="B2114" s="3">
        <v>44865</v>
      </c>
      <c r="C2114" s="2" t="s">
        <v>28</v>
      </c>
      <c r="D2114" s="2" t="s">
        <v>8</v>
      </c>
      <c r="E2114" s="2" t="s">
        <v>13</v>
      </c>
      <c r="F2114" s="2" t="s">
        <v>16</v>
      </c>
      <c r="G2114" s="2">
        <v>79</v>
      </c>
      <c r="H2114" s="9">
        <v>46</v>
      </c>
    </row>
    <row r="2115" spans="2:8" x14ac:dyDescent="0.25">
      <c r="B2115" s="3">
        <v>44865</v>
      </c>
      <c r="C2115" s="2" t="s">
        <v>15</v>
      </c>
      <c r="D2115" s="2" t="s">
        <v>8</v>
      </c>
      <c r="E2115" s="2" t="s">
        <v>9</v>
      </c>
      <c r="F2115" s="2" t="s">
        <v>10</v>
      </c>
      <c r="G2115" s="2">
        <v>51</v>
      </c>
      <c r="H2115" s="9">
        <v>134</v>
      </c>
    </row>
    <row r="2116" spans="2:8" x14ac:dyDescent="0.25">
      <c r="B2116" s="3">
        <v>44865</v>
      </c>
      <c r="C2116" s="2" t="s">
        <v>29</v>
      </c>
      <c r="D2116" s="2" t="s">
        <v>18</v>
      </c>
      <c r="E2116" s="2" t="s">
        <v>13</v>
      </c>
      <c r="F2116" s="2" t="s">
        <v>10</v>
      </c>
      <c r="G2116" s="2">
        <v>32</v>
      </c>
      <c r="H2116" s="9">
        <v>49</v>
      </c>
    </row>
    <row r="2117" spans="2:8" x14ac:dyDescent="0.25">
      <c r="B2117" s="4">
        <v>44865</v>
      </c>
      <c r="C2117" s="1" t="s">
        <v>15</v>
      </c>
      <c r="D2117" s="1" t="s">
        <v>8</v>
      </c>
      <c r="E2117" s="1" t="s">
        <v>9</v>
      </c>
      <c r="F2117" s="1" t="s">
        <v>14</v>
      </c>
      <c r="G2117" s="1">
        <v>37</v>
      </c>
      <c r="H2117" s="10">
        <v>20</v>
      </c>
    </row>
    <row r="2118" spans="2:8" x14ac:dyDescent="0.25">
      <c r="B2118" s="8">
        <v>44866</v>
      </c>
      <c r="C2118" t="s">
        <v>29</v>
      </c>
      <c r="D2118" t="s">
        <v>18</v>
      </c>
      <c r="E2118" t="s">
        <v>9</v>
      </c>
      <c r="F2118" t="s">
        <v>14</v>
      </c>
      <c r="G2118">
        <v>75</v>
      </c>
      <c r="H2118" s="11">
        <v>75</v>
      </c>
    </row>
    <row r="2119" spans="2:8" x14ac:dyDescent="0.25">
      <c r="B2119" s="8">
        <v>44866</v>
      </c>
      <c r="C2119" t="s">
        <v>27</v>
      </c>
      <c r="D2119" t="s">
        <v>18</v>
      </c>
      <c r="E2119" t="s">
        <v>13</v>
      </c>
      <c r="F2119" t="s">
        <v>16</v>
      </c>
      <c r="G2119">
        <v>26</v>
      </c>
      <c r="H2119" s="11">
        <v>41</v>
      </c>
    </row>
    <row r="2120" spans="2:8" x14ac:dyDescent="0.25">
      <c r="B2120" s="8">
        <v>44866</v>
      </c>
      <c r="C2120" t="s">
        <v>21</v>
      </c>
      <c r="D2120" t="s">
        <v>8</v>
      </c>
      <c r="E2120" t="s">
        <v>9</v>
      </c>
      <c r="F2120" t="s">
        <v>16</v>
      </c>
      <c r="G2120">
        <v>63</v>
      </c>
      <c r="H2120" s="11">
        <v>97</v>
      </c>
    </row>
    <row r="2121" spans="2:8" x14ac:dyDescent="0.25">
      <c r="B2121" s="8">
        <v>44866</v>
      </c>
      <c r="C2121" t="s">
        <v>11</v>
      </c>
      <c r="D2121" t="s">
        <v>12</v>
      </c>
      <c r="E2121" t="s">
        <v>9</v>
      </c>
      <c r="F2121" t="s">
        <v>14</v>
      </c>
      <c r="G2121">
        <v>28</v>
      </c>
      <c r="H2121" s="11">
        <v>71</v>
      </c>
    </row>
    <row r="2122" spans="2:8" x14ac:dyDescent="0.25">
      <c r="B2122" s="8">
        <v>44866</v>
      </c>
      <c r="C2122" t="s">
        <v>11</v>
      </c>
      <c r="D2122" t="s">
        <v>12</v>
      </c>
      <c r="E2122" t="s">
        <v>9</v>
      </c>
      <c r="F2122" t="s">
        <v>14</v>
      </c>
      <c r="G2122">
        <v>80</v>
      </c>
      <c r="H2122" s="11">
        <v>109</v>
      </c>
    </row>
    <row r="2123" spans="2:8" x14ac:dyDescent="0.25">
      <c r="B2123" s="8">
        <v>44867</v>
      </c>
      <c r="C2123" t="s">
        <v>11</v>
      </c>
      <c r="D2123" t="s">
        <v>12</v>
      </c>
      <c r="E2123" t="s">
        <v>13</v>
      </c>
      <c r="F2123" t="s">
        <v>10</v>
      </c>
      <c r="G2123">
        <v>88</v>
      </c>
      <c r="H2123" s="11">
        <v>32</v>
      </c>
    </row>
    <row r="2124" spans="2:8" x14ac:dyDescent="0.25">
      <c r="B2124" s="8">
        <v>44867</v>
      </c>
      <c r="C2124" t="s">
        <v>17</v>
      </c>
      <c r="D2124" t="s">
        <v>18</v>
      </c>
      <c r="E2124" t="s">
        <v>13</v>
      </c>
      <c r="F2124" t="s">
        <v>14</v>
      </c>
      <c r="G2124">
        <v>58</v>
      </c>
      <c r="H2124" s="11">
        <v>127</v>
      </c>
    </row>
    <row r="2125" spans="2:8" x14ac:dyDescent="0.25">
      <c r="B2125" s="8">
        <v>44867</v>
      </c>
      <c r="C2125" t="s">
        <v>17</v>
      </c>
      <c r="D2125" t="s">
        <v>18</v>
      </c>
      <c r="E2125" t="s">
        <v>9</v>
      </c>
      <c r="F2125" t="s">
        <v>14</v>
      </c>
      <c r="G2125">
        <v>57</v>
      </c>
      <c r="H2125" s="11">
        <v>75</v>
      </c>
    </row>
    <row r="2126" spans="2:8" x14ac:dyDescent="0.25">
      <c r="B2126" s="8">
        <v>44867</v>
      </c>
      <c r="C2126" t="s">
        <v>19</v>
      </c>
      <c r="D2126" t="s">
        <v>12</v>
      </c>
      <c r="E2126" t="s">
        <v>9</v>
      </c>
      <c r="F2126" t="s">
        <v>16</v>
      </c>
      <c r="G2126">
        <v>92</v>
      </c>
      <c r="H2126" s="11">
        <v>31</v>
      </c>
    </row>
    <row r="2127" spans="2:8" x14ac:dyDescent="0.25">
      <c r="B2127" s="8">
        <v>44867</v>
      </c>
      <c r="C2127" t="s">
        <v>15</v>
      </c>
      <c r="D2127" t="s">
        <v>8</v>
      </c>
      <c r="E2127" t="s">
        <v>9</v>
      </c>
      <c r="F2127" t="s">
        <v>14</v>
      </c>
      <c r="G2127">
        <v>73</v>
      </c>
      <c r="H2127" s="11">
        <v>86</v>
      </c>
    </row>
    <row r="2128" spans="2:8" x14ac:dyDescent="0.25">
      <c r="B2128" s="8">
        <v>44867</v>
      </c>
      <c r="C2128" t="s">
        <v>28</v>
      </c>
      <c r="D2128" t="s">
        <v>8</v>
      </c>
      <c r="E2128" t="s">
        <v>13</v>
      </c>
      <c r="F2128" t="s">
        <v>16</v>
      </c>
      <c r="G2128">
        <v>30</v>
      </c>
      <c r="H2128" s="11">
        <v>81</v>
      </c>
    </row>
    <row r="2129" spans="2:8" x14ac:dyDescent="0.25">
      <c r="B2129" s="8">
        <v>44867</v>
      </c>
      <c r="C2129" t="s">
        <v>26</v>
      </c>
      <c r="D2129" t="s">
        <v>12</v>
      </c>
      <c r="E2129" t="s">
        <v>9</v>
      </c>
      <c r="F2129" t="s">
        <v>16</v>
      </c>
      <c r="G2129">
        <v>93</v>
      </c>
      <c r="H2129" s="11">
        <v>128</v>
      </c>
    </row>
    <row r="2130" spans="2:8" x14ac:dyDescent="0.25">
      <c r="B2130" s="8">
        <v>44868</v>
      </c>
      <c r="C2130" t="s">
        <v>23</v>
      </c>
      <c r="D2130" t="s">
        <v>18</v>
      </c>
      <c r="E2130" t="s">
        <v>13</v>
      </c>
      <c r="F2130" t="s">
        <v>10</v>
      </c>
      <c r="G2130">
        <v>32</v>
      </c>
      <c r="H2130" s="11">
        <v>135</v>
      </c>
    </row>
    <row r="2131" spans="2:8" x14ac:dyDescent="0.25">
      <c r="B2131" s="8">
        <v>44868</v>
      </c>
      <c r="C2131" t="s">
        <v>24</v>
      </c>
      <c r="D2131" t="s">
        <v>18</v>
      </c>
      <c r="E2131" t="s">
        <v>9</v>
      </c>
      <c r="F2131" t="s">
        <v>14</v>
      </c>
      <c r="G2131">
        <v>81</v>
      </c>
      <c r="H2131" s="11">
        <v>62</v>
      </c>
    </row>
    <row r="2132" spans="2:8" x14ac:dyDescent="0.25">
      <c r="B2132" s="8">
        <v>44868</v>
      </c>
      <c r="C2132" t="s">
        <v>26</v>
      </c>
      <c r="D2132" t="s">
        <v>12</v>
      </c>
      <c r="E2132" t="s">
        <v>13</v>
      </c>
      <c r="F2132" t="s">
        <v>14</v>
      </c>
      <c r="G2132">
        <v>33</v>
      </c>
      <c r="H2132" s="11">
        <v>100</v>
      </c>
    </row>
    <row r="2133" spans="2:8" x14ac:dyDescent="0.25">
      <c r="B2133" s="8">
        <v>44868</v>
      </c>
      <c r="C2133" t="s">
        <v>24</v>
      </c>
      <c r="D2133" t="s">
        <v>18</v>
      </c>
      <c r="E2133" t="s">
        <v>9</v>
      </c>
      <c r="F2133" t="s">
        <v>10</v>
      </c>
      <c r="G2133">
        <v>32</v>
      </c>
      <c r="H2133" s="11">
        <v>70</v>
      </c>
    </row>
    <row r="2134" spans="2:8" x14ac:dyDescent="0.25">
      <c r="B2134" s="8">
        <v>44868</v>
      </c>
      <c r="C2134" t="s">
        <v>21</v>
      </c>
      <c r="D2134" t="s">
        <v>8</v>
      </c>
      <c r="E2134" t="s">
        <v>9</v>
      </c>
      <c r="F2134" t="s">
        <v>10</v>
      </c>
      <c r="G2134">
        <v>22</v>
      </c>
      <c r="H2134" s="11">
        <v>86</v>
      </c>
    </row>
    <row r="2135" spans="2:8" x14ac:dyDescent="0.25">
      <c r="B2135" s="8">
        <v>44868</v>
      </c>
      <c r="C2135" t="s">
        <v>24</v>
      </c>
      <c r="D2135" t="s">
        <v>18</v>
      </c>
      <c r="E2135" t="s">
        <v>9</v>
      </c>
      <c r="F2135" t="s">
        <v>16</v>
      </c>
      <c r="G2135">
        <v>73</v>
      </c>
      <c r="H2135" s="11">
        <v>43</v>
      </c>
    </row>
    <row r="2136" spans="2:8" x14ac:dyDescent="0.25">
      <c r="B2136" s="8">
        <v>44868</v>
      </c>
      <c r="C2136" t="s">
        <v>25</v>
      </c>
      <c r="D2136" t="s">
        <v>12</v>
      </c>
      <c r="E2136" t="s">
        <v>13</v>
      </c>
      <c r="F2136" t="s">
        <v>10</v>
      </c>
      <c r="G2136">
        <v>100</v>
      </c>
      <c r="H2136" s="11">
        <v>82</v>
      </c>
    </row>
    <row r="2137" spans="2:8" x14ac:dyDescent="0.25">
      <c r="B2137" s="8">
        <v>44869</v>
      </c>
      <c r="C2137" t="s">
        <v>15</v>
      </c>
      <c r="D2137" t="s">
        <v>8</v>
      </c>
      <c r="E2137" t="s">
        <v>13</v>
      </c>
      <c r="F2137" t="s">
        <v>14</v>
      </c>
      <c r="G2137">
        <v>25</v>
      </c>
      <c r="H2137" s="11">
        <v>140</v>
      </c>
    </row>
    <row r="2138" spans="2:8" x14ac:dyDescent="0.25">
      <c r="B2138" s="8">
        <v>44869</v>
      </c>
      <c r="C2138" t="s">
        <v>27</v>
      </c>
      <c r="D2138" t="s">
        <v>18</v>
      </c>
      <c r="E2138" t="s">
        <v>13</v>
      </c>
      <c r="F2138" t="s">
        <v>16</v>
      </c>
      <c r="G2138">
        <v>42</v>
      </c>
      <c r="H2138" s="11">
        <v>21</v>
      </c>
    </row>
    <row r="2139" spans="2:8" x14ac:dyDescent="0.25">
      <c r="B2139" s="8">
        <v>44869</v>
      </c>
      <c r="C2139" t="s">
        <v>28</v>
      </c>
      <c r="D2139" t="s">
        <v>8</v>
      </c>
      <c r="E2139" t="s">
        <v>9</v>
      </c>
      <c r="F2139" t="s">
        <v>16</v>
      </c>
      <c r="G2139">
        <v>28</v>
      </c>
      <c r="H2139" s="11">
        <v>47</v>
      </c>
    </row>
    <row r="2140" spans="2:8" x14ac:dyDescent="0.25">
      <c r="B2140" s="8">
        <v>44870</v>
      </c>
      <c r="C2140" t="s">
        <v>17</v>
      </c>
      <c r="D2140" t="s">
        <v>18</v>
      </c>
      <c r="E2140" t="s">
        <v>13</v>
      </c>
      <c r="F2140" t="s">
        <v>10</v>
      </c>
      <c r="G2140">
        <v>34</v>
      </c>
      <c r="H2140" s="11">
        <v>68</v>
      </c>
    </row>
    <row r="2141" spans="2:8" x14ac:dyDescent="0.25">
      <c r="B2141" s="8">
        <v>44870</v>
      </c>
      <c r="C2141" t="s">
        <v>17</v>
      </c>
      <c r="D2141" t="s">
        <v>18</v>
      </c>
      <c r="E2141" t="s">
        <v>9</v>
      </c>
      <c r="F2141" t="s">
        <v>14</v>
      </c>
      <c r="G2141">
        <v>30</v>
      </c>
      <c r="H2141" s="11">
        <v>119</v>
      </c>
    </row>
    <row r="2142" spans="2:8" x14ac:dyDescent="0.25">
      <c r="B2142" s="8">
        <v>44870</v>
      </c>
      <c r="C2142" t="s">
        <v>15</v>
      </c>
      <c r="D2142" t="s">
        <v>8</v>
      </c>
      <c r="E2142" t="s">
        <v>13</v>
      </c>
      <c r="F2142" t="s">
        <v>16</v>
      </c>
      <c r="G2142">
        <v>38</v>
      </c>
      <c r="H2142" s="11">
        <v>68</v>
      </c>
    </row>
    <row r="2143" spans="2:8" x14ac:dyDescent="0.25">
      <c r="B2143" s="8">
        <v>44870</v>
      </c>
      <c r="C2143" t="s">
        <v>27</v>
      </c>
      <c r="D2143" t="s">
        <v>18</v>
      </c>
      <c r="E2143" t="s">
        <v>13</v>
      </c>
      <c r="F2143" t="s">
        <v>10</v>
      </c>
      <c r="G2143">
        <v>13</v>
      </c>
      <c r="H2143" s="11">
        <v>119</v>
      </c>
    </row>
    <row r="2144" spans="2:8" x14ac:dyDescent="0.25">
      <c r="B2144" s="8">
        <v>44871</v>
      </c>
      <c r="C2144" t="s">
        <v>11</v>
      </c>
      <c r="D2144" t="s">
        <v>12</v>
      </c>
      <c r="E2144" t="s">
        <v>9</v>
      </c>
      <c r="F2144" t="s">
        <v>10</v>
      </c>
      <c r="G2144">
        <v>60</v>
      </c>
      <c r="H2144" s="11">
        <v>31</v>
      </c>
    </row>
    <row r="2145" spans="2:8" x14ac:dyDescent="0.25">
      <c r="B2145" s="8">
        <v>44871</v>
      </c>
      <c r="C2145" t="s">
        <v>19</v>
      </c>
      <c r="D2145" t="s">
        <v>12</v>
      </c>
      <c r="E2145" t="s">
        <v>9</v>
      </c>
      <c r="F2145" t="s">
        <v>14</v>
      </c>
      <c r="G2145">
        <v>97</v>
      </c>
      <c r="H2145" s="11">
        <v>68</v>
      </c>
    </row>
    <row r="2146" spans="2:8" x14ac:dyDescent="0.25">
      <c r="B2146" s="8">
        <v>44871</v>
      </c>
      <c r="C2146" t="s">
        <v>15</v>
      </c>
      <c r="D2146" t="s">
        <v>8</v>
      </c>
      <c r="E2146" t="s">
        <v>9</v>
      </c>
      <c r="F2146" t="s">
        <v>16</v>
      </c>
      <c r="G2146">
        <v>38</v>
      </c>
      <c r="H2146" s="11">
        <v>117</v>
      </c>
    </row>
    <row r="2147" spans="2:8" x14ac:dyDescent="0.25">
      <c r="B2147" s="8">
        <v>44871</v>
      </c>
      <c r="C2147" t="s">
        <v>24</v>
      </c>
      <c r="D2147" t="s">
        <v>18</v>
      </c>
      <c r="E2147" t="s">
        <v>13</v>
      </c>
      <c r="F2147" t="s">
        <v>16</v>
      </c>
      <c r="G2147">
        <v>78</v>
      </c>
      <c r="H2147" s="11">
        <v>112</v>
      </c>
    </row>
    <row r="2148" spans="2:8" x14ac:dyDescent="0.25">
      <c r="B2148" s="8">
        <v>44871</v>
      </c>
      <c r="C2148" t="s">
        <v>27</v>
      </c>
      <c r="D2148" t="s">
        <v>18</v>
      </c>
      <c r="E2148" t="s">
        <v>9</v>
      </c>
      <c r="F2148" t="s">
        <v>16</v>
      </c>
      <c r="G2148">
        <v>88</v>
      </c>
      <c r="H2148" s="11">
        <v>133</v>
      </c>
    </row>
    <row r="2149" spans="2:8" x14ac:dyDescent="0.25">
      <c r="B2149" s="8">
        <v>44872</v>
      </c>
      <c r="C2149" t="s">
        <v>26</v>
      </c>
      <c r="D2149" t="s">
        <v>12</v>
      </c>
      <c r="E2149" t="s">
        <v>9</v>
      </c>
      <c r="F2149" t="s">
        <v>16</v>
      </c>
      <c r="G2149">
        <v>20</v>
      </c>
      <c r="H2149" s="11">
        <v>124</v>
      </c>
    </row>
    <row r="2150" spans="2:8" x14ac:dyDescent="0.25">
      <c r="B2150" s="8">
        <v>44872</v>
      </c>
      <c r="C2150" t="s">
        <v>28</v>
      </c>
      <c r="D2150" t="s">
        <v>8</v>
      </c>
      <c r="E2150" t="s">
        <v>9</v>
      </c>
      <c r="F2150" t="s">
        <v>14</v>
      </c>
      <c r="G2150">
        <v>29</v>
      </c>
      <c r="H2150" s="11">
        <v>140</v>
      </c>
    </row>
    <row r="2151" spans="2:8" x14ac:dyDescent="0.25">
      <c r="B2151" s="8">
        <v>44872</v>
      </c>
      <c r="C2151" t="s">
        <v>22</v>
      </c>
      <c r="D2151" t="s">
        <v>12</v>
      </c>
      <c r="E2151" t="s">
        <v>13</v>
      </c>
      <c r="F2151" t="s">
        <v>10</v>
      </c>
      <c r="G2151">
        <v>93</v>
      </c>
      <c r="H2151" s="11">
        <v>60</v>
      </c>
    </row>
    <row r="2152" spans="2:8" x14ac:dyDescent="0.25">
      <c r="B2152" s="8">
        <v>44872</v>
      </c>
      <c r="C2152" t="s">
        <v>19</v>
      </c>
      <c r="D2152" t="s">
        <v>12</v>
      </c>
      <c r="E2152" t="s">
        <v>13</v>
      </c>
      <c r="F2152" t="s">
        <v>14</v>
      </c>
      <c r="G2152">
        <v>95</v>
      </c>
      <c r="H2152" s="11">
        <v>63</v>
      </c>
    </row>
    <row r="2153" spans="2:8" x14ac:dyDescent="0.25">
      <c r="B2153" s="8">
        <v>44872</v>
      </c>
      <c r="C2153" t="s">
        <v>7</v>
      </c>
      <c r="D2153" t="s">
        <v>8</v>
      </c>
      <c r="E2153" t="s">
        <v>13</v>
      </c>
      <c r="F2153" t="s">
        <v>14</v>
      </c>
      <c r="G2153">
        <v>82</v>
      </c>
      <c r="H2153" s="11">
        <v>64</v>
      </c>
    </row>
    <row r="2154" spans="2:8" x14ac:dyDescent="0.25">
      <c r="B2154" s="8">
        <v>44872</v>
      </c>
      <c r="C2154" t="s">
        <v>21</v>
      </c>
      <c r="D2154" t="s">
        <v>8</v>
      </c>
      <c r="E2154" t="s">
        <v>13</v>
      </c>
      <c r="F2154" t="s">
        <v>14</v>
      </c>
      <c r="G2154">
        <v>47</v>
      </c>
      <c r="H2154" s="11">
        <v>130</v>
      </c>
    </row>
    <row r="2155" spans="2:8" x14ac:dyDescent="0.25">
      <c r="B2155" s="8">
        <v>44873</v>
      </c>
      <c r="C2155" t="s">
        <v>20</v>
      </c>
      <c r="D2155" t="s">
        <v>8</v>
      </c>
      <c r="E2155" t="s">
        <v>13</v>
      </c>
      <c r="F2155" t="s">
        <v>10</v>
      </c>
      <c r="G2155">
        <v>85</v>
      </c>
      <c r="H2155" s="11">
        <v>34</v>
      </c>
    </row>
    <row r="2156" spans="2:8" x14ac:dyDescent="0.25">
      <c r="B2156" s="8">
        <v>44873</v>
      </c>
      <c r="C2156" t="s">
        <v>29</v>
      </c>
      <c r="D2156" t="s">
        <v>18</v>
      </c>
      <c r="E2156" t="s">
        <v>9</v>
      </c>
      <c r="F2156" t="s">
        <v>10</v>
      </c>
      <c r="G2156">
        <v>28</v>
      </c>
      <c r="H2156" s="11">
        <v>90</v>
      </c>
    </row>
    <row r="2157" spans="2:8" x14ac:dyDescent="0.25">
      <c r="B2157" s="8">
        <v>44873</v>
      </c>
      <c r="C2157" t="s">
        <v>22</v>
      </c>
      <c r="D2157" t="s">
        <v>12</v>
      </c>
      <c r="E2157" t="s">
        <v>9</v>
      </c>
      <c r="F2157" t="s">
        <v>10</v>
      </c>
      <c r="G2157">
        <v>98</v>
      </c>
      <c r="H2157" s="11">
        <v>124</v>
      </c>
    </row>
    <row r="2158" spans="2:8" x14ac:dyDescent="0.25">
      <c r="B2158" s="8">
        <v>44873</v>
      </c>
      <c r="C2158" t="s">
        <v>15</v>
      </c>
      <c r="D2158" t="s">
        <v>8</v>
      </c>
      <c r="E2158" t="s">
        <v>13</v>
      </c>
      <c r="F2158" t="s">
        <v>16</v>
      </c>
      <c r="G2158">
        <v>85</v>
      </c>
      <c r="H2158" s="11">
        <v>46</v>
      </c>
    </row>
    <row r="2159" spans="2:8" x14ac:dyDescent="0.25">
      <c r="B2159" s="8">
        <v>44873</v>
      </c>
      <c r="C2159" t="s">
        <v>27</v>
      </c>
      <c r="D2159" t="s">
        <v>18</v>
      </c>
      <c r="E2159" t="s">
        <v>13</v>
      </c>
      <c r="F2159" t="s">
        <v>10</v>
      </c>
      <c r="G2159">
        <v>27</v>
      </c>
      <c r="H2159" s="11">
        <v>91</v>
      </c>
    </row>
    <row r="2160" spans="2:8" x14ac:dyDescent="0.25">
      <c r="B2160" s="8">
        <v>44873</v>
      </c>
      <c r="C2160" t="s">
        <v>23</v>
      </c>
      <c r="D2160" t="s">
        <v>18</v>
      </c>
      <c r="E2160" t="s">
        <v>13</v>
      </c>
      <c r="F2160" t="s">
        <v>16</v>
      </c>
      <c r="G2160">
        <v>53</v>
      </c>
      <c r="H2160" s="11">
        <v>82</v>
      </c>
    </row>
    <row r="2161" spans="2:8" x14ac:dyDescent="0.25">
      <c r="B2161" s="8">
        <v>44873</v>
      </c>
      <c r="C2161" t="s">
        <v>24</v>
      </c>
      <c r="D2161" t="s">
        <v>18</v>
      </c>
      <c r="E2161" t="s">
        <v>13</v>
      </c>
      <c r="F2161" t="s">
        <v>14</v>
      </c>
      <c r="G2161">
        <v>36</v>
      </c>
      <c r="H2161" s="11">
        <v>68</v>
      </c>
    </row>
    <row r="2162" spans="2:8" x14ac:dyDescent="0.25">
      <c r="B2162" s="8">
        <v>44873</v>
      </c>
      <c r="C2162" t="s">
        <v>11</v>
      </c>
      <c r="D2162" t="s">
        <v>12</v>
      </c>
      <c r="E2162" t="s">
        <v>9</v>
      </c>
      <c r="F2162" t="s">
        <v>16</v>
      </c>
      <c r="G2162">
        <v>34</v>
      </c>
      <c r="H2162" s="11">
        <v>149</v>
      </c>
    </row>
    <row r="2163" spans="2:8" x14ac:dyDescent="0.25">
      <c r="B2163" s="8">
        <v>44873</v>
      </c>
      <c r="C2163" t="s">
        <v>7</v>
      </c>
      <c r="D2163" t="s">
        <v>8</v>
      </c>
      <c r="E2163" t="s">
        <v>13</v>
      </c>
      <c r="F2163" t="s">
        <v>16</v>
      </c>
      <c r="G2163">
        <v>42</v>
      </c>
      <c r="H2163" s="11">
        <v>100</v>
      </c>
    </row>
    <row r="2164" spans="2:8" x14ac:dyDescent="0.25">
      <c r="B2164" s="8">
        <v>44873</v>
      </c>
      <c r="C2164" t="s">
        <v>20</v>
      </c>
      <c r="D2164" t="s">
        <v>8</v>
      </c>
      <c r="E2164" t="s">
        <v>13</v>
      </c>
      <c r="F2164" t="s">
        <v>14</v>
      </c>
      <c r="G2164">
        <v>16</v>
      </c>
      <c r="H2164" s="11">
        <v>149</v>
      </c>
    </row>
    <row r="2165" spans="2:8" x14ac:dyDescent="0.25">
      <c r="B2165" s="8">
        <v>44873</v>
      </c>
      <c r="C2165" t="s">
        <v>29</v>
      </c>
      <c r="D2165" t="s">
        <v>18</v>
      </c>
      <c r="E2165" t="s">
        <v>13</v>
      </c>
      <c r="F2165" t="s">
        <v>10</v>
      </c>
      <c r="G2165">
        <v>16</v>
      </c>
      <c r="H2165" s="11">
        <v>75</v>
      </c>
    </row>
    <row r="2166" spans="2:8" x14ac:dyDescent="0.25">
      <c r="B2166" s="8">
        <v>44874</v>
      </c>
      <c r="C2166" t="s">
        <v>29</v>
      </c>
      <c r="D2166" t="s">
        <v>18</v>
      </c>
      <c r="E2166" t="s">
        <v>9</v>
      </c>
      <c r="F2166" t="s">
        <v>14</v>
      </c>
      <c r="G2166">
        <v>10</v>
      </c>
      <c r="H2166" s="11">
        <v>48</v>
      </c>
    </row>
    <row r="2167" spans="2:8" x14ac:dyDescent="0.25">
      <c r="B2167" s="8">
        <v>44874</v>
      </c>
      <c r="C2167" t="s">
        <v>27</v>
      </c>
      <c r="D2167" t="s">
        <v>18</v>
      </c>
      <c r="E2167" t="s">
        <v>9</v>
      </c>
      <c r="F2167" t="s">
        <v>14</v>
      </c>
      <c r="G2167">
        <v>95</v>
      </c>
      <c r="H2167" s="11">
        <v>42</v>
      </c>
    </row>
    <row r="2168" spans="2:8" x14ac:dyDescent="0.25">
      <c r="B2168" s="8">
        <v>44874</v>
      </c>
      <c r="C2168" t="s">
        <v>20</v>
      </c>
      <c r="D2168" t="s">
        <v>8</v>
      </c>
      <c r="E2168" t="s">
        <v>13</v>
      </c>
      <c r="F2168" t="s">
        <v>16</v>
      </c>
      <c r="G2168">
        <v>41</v>
      </c>
      <c r="H2168" s="11">
        <v>64</v>
      </c>
    </row>
    <row r="2169" spans="2:8" x14ac:dyDescent="0.25">
      <c r="B2169" s="8">
        <v>44874</v>
      </c>
      <c r="C2169" t="s">
        <v>15</v>
      </c>
      <c r="D2169" t="s">
        <v>8</v>
      </c>
      <c r="E2169" t="s">
        <v>13</v>
      </c>
      <c r="F2169" t="s">
        <v>14</v>
      </c>
      <c r="G2169">
        <v>85</v>
      </c>
      <c r="H2169" s="11">
        <v>41</v>
      </c>
    </row>
    <row r="2170" spans="2:8" x14ac:dyDescent="0.25">
      <c r="B2170" s="8">
        <v>44875</v>
      </c>
      <c r="C2170" t="s">
        <v>17</v>
      </c>
      <c r="D2170" t="s">
        <v>18</v>
      </c>
      <c r="E2170" t="s">
        <v>13</v>
      </c>
      <c r="F2170" t="s">
        <v>16</v>
      </c>
      <c r="G2170">
        <v>35</v>
      </c>
      <c r="H2170" s="11">
        <v>27</v>
      </c>
    </row>
    <row r="2171" spans="2:8" x14ac:dyDescent="0.25">
      <c r="B2171" s="8">
        <v>44875</v>
      </c>
      <c r="C2171" t="s">
        <v>17</v>
      </c>
      <c r="D2171" t="s">
        <v>18</v>
      </c>
      <c r="E2171" t="s">
        <v>13</v>
      </c>
      <c r="F2171" t="s">
        <v>14</v>
      </c>
      <c r="G2171">
        <v>42</v>
      </c>
      <c r="H2171" s="11">
        <v>129</v>
      </c>
    </row>
    <row r="2172" spans="2:8" x14ac:dyDescent="0.25">
      <c r="B2172" s="8">
        <v>44875</v>
      </c>
      <c r="C2172" t="s">
        <v>11</v>
      </c>
      <c r="D2172" t="s">
        <v>12</v>
      </c>
      <c r="E2172" t="s">
        <v>9</v>
      </c>
      <c r="F2172" t="s">
        <v>16</v>
      </c>
      <c r="G2172">
        <v>24</v>
      </c>
      <c r="H2172" s="11">
        <v>93</v>
      </c>
    </row>
    <row r="2173" spans="2:8" x14ac:dyDescent="0.25">
      <c r="B2173" s="8">
        <v>44875</v>
      </c>
      <c r="C2173" t="s">
        <v>29</v>
      </c>
      <c r="D2173" t="s">
        <v>18</v>
      </c>
      <c r="E2173" t="s">
        <v>13</v>
      </c>
      <c r="F2173" t="s">
        <v>14</v>
      </c>
      <c r="G2173">
        <v>98</v>
      </c>
      <c r="H2173" s="11">
        <v>53</v>
      </c>
    </row>
    <row r="2174" spans="2:8" x14ac:dyDescent="0.25">
      <c r="B2174" s="8">
        <v>44875</v>
      </c>
      <c r="C2174" t="s">
        <v>24</v>
      </c>
      <c r="D2174" t="s">
        <v>18</v>
      </c>
      <c r="E2174" t="s">
        <v>9</v>
      </c>
      <c r="F2174" t="s">
        <v>14</v>
      </c>
      <c r="G2174">
        <v>49</v>
      </c>
      <c r="H2174" s="11">
        <v>92</v>
      </c>
    </row>
    <row r="2175" spans="2:8" x14ac:dyDescent="0.25">
      <c r="B2175" s="8">
        <v>44875</v>
      </c>
      <c r="C2175" t="s">
        <v>26</v>
      </c>
      <c r="D2175" t="s">
        <v>12</v>
      </c>
      <c r="E2175" t="s">
        <v>9</v>
      </c>
      <c r="F2175" t="s">
        <v>10</v>
      </c>
      <c r="G2175">
        <v>15</v>
      </c>
      <c r="H2175" s="11">
        <v>128</v>
      </c>
    </row>
    <row r="2176" spans="2:8" x14ac:dyDescent="0.25">
      <c r="B2176" s="8">
        <v>44875</v>
      </c>
      <c r="C2176" t="s">
        <v>29</v>
      </c>
      <c r="D2176" t="s">
        <v>18</v>
      </c>
      <c r="E2176" t="s">
        <v>13</v>
      </c>
      <c r="F2176" t="s">
        <v>14</v>
      </c>
      <c r="G2176">
        <v>25</v>
      </c>
      <c r="H2176" s="11">
        <v>127</v>
      </c>
    </row>
    <row r="2177" spans="2:8" x14ac:dyDescent="0.25">
      <c r="B2177" s="8">
        <v>44876</v>
      </c>
      <c r="C2177" t="s">
        <v>23</v>
      </c>
      <c r="D2177" t="s">
        <v>18</v>
      </c>
      <c r="E2177" t="s">
        <v>13</v>
      </c>
      <c r="F2177" t="s">
        <v>16</v>
      </c>
      <c r="G2177">
        <v>51</v>
      </c>
      <c r="H2177" s="11">
        <v>107</v>
      </c>
    </row>
    <row r="2178" spans="2:8" x14ac:dyDescent="0.25">
      <c r="B2178" s="8">
        <v>44876</v>
      </c>
      <c r="C2178" t="s">
        <v>21</v>
      </c>
      <c r="D2178" t="s">
        <v>8</v>
      </c>
      <c r="E2178" t="s">
        <v>9</v>
      </c>
      <c r="F2178" t="s">
        <v>16</v>
      </c>
      <c r="G2178">
        <v>47</v>
      </c>
      <c r="H2178" s="11">
        <v>122</v>
      </c>
    </row>
    <row r="2179" spans="2:8" x14ac:dyDescent="0.25">
      <c r="B2179" s="8">
        <v>44876</v>
      </c>
      <c r="C2179" t="s">
        <v>17</v>
      </c>
      <c r="D2179" t="s">
        <v>18</v>
      </c>
      <c r="E2179" t="s">
        <v>9</v>
      </c>
      <c r="F2179" t="s">
        <v>10</v>
      </c>
      <c r="G2179">
        <v>51</v>
      </c>
      <c r="H2179" s="11">
        <v>37</v>
      </c>
    </row>
    <row r="2180" spans="2:8" x14ac:dyDescent="0.25">
      <c r="B2180" s="8">
        <v>44876</v>
      </c>
      <c r="C2180" t="s">
        <v>17</v>
      </c>
      <c r="D2180" t="s">
        <v>18</v>
      </c>
      <c r="E2180" t="s">
        <v>9</v>
      </c>
      <c r="F2180" t="s">
        <v>16</v>
      </c>
      <c r="G2180">
        <v>91</v>
      </c>
      <c r="H2180" s="11">
        <v>128</v>
      </c>
    </row>
    <row r="2181" spans="2:8" x14ac:dyDescent="0.25">
      <c r="B2181" s="8">
        <v>44877</v>
      </c>
      <c r="C2181" t="s">
        <v>17</v>
      </c>
      <c r="D2181" t="s">
        <v>18</v>
      </c>
      <c r="E2181" t="s">
        <v>13</v>
      </c>
      <c r="F2181" t="s">
        <v>16</v>
      </c>
      <c r="G2181">
        <v>60</v>
      </c>
      <c r="H2181" s="11">
        <v>64</v>
      </c>
    </row>
    <row r="2182" spans="2:8" x14ac:dyDescent="0.25">
      <c r="B2182" s="8">
        <v>44877</v>
      </c>
      <c r="C2182" t="s">
        <v>20</v>
      </c>
      <c r="D2182" t="s">
        <v>8</v>
      </c>
      <c r="E2182" t="s">
        <v>13</v>
      </c>
      <c r="F2182" t="s">
        <v>16</v>
      </c>
      <c r="G2182">
        <v>37</v>
      </c>
      <c r="H2182" s="11">
        <v>36</v>
      </c>
    </row>
    <row r="2183" spans="2:8" x14ac:dyDescent="0.25">
      <c r="B2183" s="8">
        <v>44877</v>
      </c>
      <c r="C2183" t="s">
        <v>27</v>
      </c>
      <c r="D2183" t="s">
        <v>18</v>
      </c>
      <c r="E2183" t="s">
        <v>13</v>
      </c>
      <c r="F2183" t="s">
        <v>14</v>
      </c>
      <c r="G2183">
        <v>16</v>
      </c>
      <c r="H2183" s="11">
        <v>60</v>
      </c>
    </row>
    <row r="2184" spans="2:8" x14ac:dyDescent="0.25">
      <c r="B2184" s="8">
        <v>44877</v>
      </c>
      <c r="C2184" t="s">
        <v>29</v>
      </c>
      <c r="D2184" t="s">
        <v>18</v>
      </c>
      <c r="E2184" t="s">
        <v>9</v>
      </c>
      <c r="F2184" t="s">
        <v>10</v>
      </c>
      <c r="G2184">
        <v>70</v>
      </c>
      <c r="H2184" s="11">
        <v>146</v>
      </c>
    </row>
    <row r="2185" spans="2:8" x14ac:dyDescent="0.25">
      <c r="B2185" s="8">
        <v>44877</v>
      </c>
      <c r="C2185" t="s">
        <v>11</v>
      </c>
      <c r="D2185" t="s">
        <v>12</v>
      </c>
      <c r="E2185" t="s">
        <v>13</v>
      </c>
      <c r="F2185" t="s">
        <v>10</v>
      </c>
      <c r="G2185">
        <v>31</v>
      </c>
      <c r="H2185" s="11">
        <v>75</v>
      </c>
    </row>
    <row r="2186" spans="2:8" x14ac:dyDescent="0.25">
      <c r="B2186" s="8">
        <v>44877</v>
      </c>
      <c r="C2186" t="s">
        <v>27</v>
      </c>
      <c r="D2186" t="s">
        <v>18</v>
      </c>
      <c r="E2186" t="s">
        <v>9</v>
      </c>
      <c r="F2186" t="s">
        <v>10</v>
      </c>
      <c r="G2186">
        <v>91</v>
      </c>
      <c r="H2186" s="11">
        <v>137</v>
      </c>
    </row>
    <row r="2187" spans="2:8" x14ac:dyDescent="0.25">
      <c r="B2187" s="8">
        <v>44877</v>
      </c>
      <c r="C2187" t="s">
        <v>21</v>
      </c>
      <c r="D2187" t="s">
        <v>8</v>
      </c>
      <c r="E2187" t="s">
        <v>13</v>
      </c>
      <c r="F2187" t="s">
        <v>10</v>
      </c>
      <c r="G2187">
        <v>78</v>
      </c>
      <c r="H2187" s="11">
        <v>24</v>
      </c>
    </row>
    <row r="2188" spans="2:8" x14ac:dyDescent="0.25">
      <c r="B2188" s="8">
        <v>44877</v>
      </c>
      <c r="C2188" t="s">
        <v>29</v>
      </c>
      <c r="D2188" t="s">
        <v>18</v>
      </c>
      <c r="E2188" t="s">
        <v>9</v>
      </c>
      <c r="F2188" t="s">
        <v>16</v>
      </c>
      <c r="G2188">
        <v>98</v>
      </c>
      <c r="H2188" s="11">
        <v>137</v>
      </c>
    </row>
    <row r="2189" spans="2:8" x14ac:dyDescent="0.25">
      <c r="B2189" s="8">
        <v>44878</v>
      </c>
      <c r="C2189" t="s">
        <v>29</v>
      </c>
      <c r="D2189" t="s">
        <v>18</v>
      </c>
      <c r="E2189" t="s">
        <v>13</v>
      </c>
      <c r="F2189" t="s">
        <v>10</v>
      </c>
      <c r="G2189">
        <v>100</v>
      </c>
      <c r="H2189" s="11">
        <v>84</v>
      </c>
    </row>
    <row r="2190" spans="2:8" x14ac:dyDescent="0.25">
      <c r="B2190" s="8">
        <v>44878</v>
      </c>
      <c r="C2190" t="s">
        <v>27</v>
      </c>
      <c r="D2190" t="s">
        <v>18</v>
      </c>
      <c r="E2190" t="s">
        <v>13</v>
      </c>
      <c r="F2190" t="s">
        <v>16</v>
      </c>
      <c r="G2190">
        <v>16</v>
      </c>
      <c r="H2190" s="11">
        <v>148</v>
      </c>
    </row>
    <row r="2191" spans="2:8" x14ac:dyDescent="0.25">
      <c r="B2191" s="8">
        <v>44878</v>
      </c>
      <c r="C2191" t="s">
        <v>22</v>
      </c>
      <c r="D2191" t="s">
        <v>12</v>
      </c>
      <c r="E2191" t="s">
        <v>9</v>
      </c>
      <c r="F2191" t="s">
        <v>10</v>
      </c>
      <c r="G2191">
        <v>16</v>
      </c>
      <c r="H2191" s="11">
        <v>107</v>
      </c>
    </row>
    <row r="2192" spans="2:8" x14ac:dyDescent="0.25">
      <c r="B2192" s="8">
        <v>44878</v>
      </c>
      <c r="C2192" t="s">
        <v>17</v>
      </c>
      <c r="D2192" t="s">
        <v>18</v>
      </c>
      <c r="E2192" t="s">
        <v>9</v>
      </c>
      <c r="F2192" t="s">
        <v>10</v>
      </c>
      <c r="G2192">
        <v>91</v>
      </c>
      <c r="H2192" s="11">
        <v>100</v>
      </c>
    </row>
    <row r="2193" spans="2:8" x14ac:dyDescent="0.25">
      <c r="B2193" s="8">
        <v>44878</v>
      </c>
      <c r="C2193" t="s">
        <v>11</v>
      </c>
      <c r="D2193" t="s">
        <v>12</v>
      </c>
      <c r="E2193" t="s">
        <v>9</v>
      </c>
      <c r="F2193" t="s">
        <v>10</v>
      </c>
      <c r="G2193">
        <v>20</v>
      </c>
      <c r="H2193" s="11">
        <v>49</v>
      </c>
    </row>
    <row r="2194" spans="2:8" x14ac:dyDescent="0.25">
      <c r="B2194" s="8">
        <v>44879</v>
      </c>
      <c r="C2194" t="s">
        <v>24</v>
      </c>
      <c r="D2194" t="s">
        <v>18</v>
      </c>
      <c r="E2194" t="s">
        <v>9</v>
      </c>
      <c r="F2194" t="s">
        <v>14</v>
      </c>
      <c r="G2194">
        <v>87</v>
      </c>
      <c r="H2194" s="11">
        <v>116</v>
      </c>
    </row>
    <row r="2195" spans="2:8" x14ac:dyDescent="0.25">
      <c r="B2195" s="8">
        <v>44879</v>
      </c>
      <c r="C2195" t="s">
        <v>24</v>
      </c>
      <c r="D2195" t="s">
        <v>18</v>
      </c>
      <c r="E2195" t="s">
        <v>13</v>
      </c>
      <c r="F2195" t="s">
        <v>10</v>
      </c>
      <c r="G2195">
        <v>41</v>
      </c>
      <c r="H2195" s="11">
        <v>113</v>
      </c>
    </row>
    <row r="2196" spans="2:8" x14ac:dyDescent="0.25">
      <c r="B2196" s="8">
        <v>44879</v>
      </c>
      <c r="C2196" t="s">
        <v>27</v>
      </c>
      <c r="D2196" t="s">
        <v>18</v>
      </c>
      <c r="E2196" t="s">
        <v>9</v>
      </c>
      <c r="F2196" t="s">
        <v>10</v>
      </c>
      <c r="G2196">
        <v>28</v>
      </c>
      <c r="H2196" s="11">
        <v>72</v>
      </c>
    </row>
    <row r="2197" spans="2:8" x14ac:dyDescent="0.25">
      <c r="B2197" s="8">
        <v>44879</v>
      </c>
      <c r="C2197" t="s">
        <v>29</v>
      </c>
      <c r="D2197" t="s">
        <v>18</v>
      </c>
      <c r="E2197" t="s">
        <v>9</v>
      </c>
      <c r="F2197" t="s">
        <v>14</v>
      </c>
      <c r="G2197">
        <v>88</v>
      </c>
      <c r="H2197" s="11">
        <v>97</v>
      </c>
    </row>
    <row r="2198" spans="2:8" x14ac:dyDescent="0.25">
      <c r="B2198" s="8">
        <v>44879</v>
      </c>
      <c r="C2198" t="s">
        <v>22</v>
      </c>
      <c r="D2198" t="s">
        <v>12</v>
      </c>
      <c r="E2198" t="s">
        <v>9</v>
      </c>
      <c r="F2198" t="s">
        <v>10</v>
      </c>
      <c r="G2198">
        <v>74</v>
      </c>
      <c r="H2198" s="11">
        <v>22</v>
      </c>
    </row>
    <row r="2199" spans="2:8" x14ac:dyDescent="0.25">
      <c r="B2199" s="8">
        <v>44879</v>
      </c>
      <c r="C2199" t="s">
        <v>19</v>
      </c>
      <c r="D2199" t="s">
        <v>12</v>
      </c>
      <c r="E2199" t="s">
        <v>9</v>
      </c>
      <c r="F2199" t="s">
        <v>10</v>
      </c>
      <c r="G2199">
        <v>36</v>
      </c>
      <c r="H2199" s="11">
        <v>68</v>
      </c>
    </row>
    <row r="2200" spans="2:8" x14ac:dyDescent="0.25">
      <c r="B2200" s="8">
        <v>44879</v>
      </c>
      <c r="C2200" t="s">
        <v>28</v>
      </c>
      <c r="D2200" t="s">
        <v>8</v>
      </c>
      <c r="E2200" t="s">
        <v>9</v>
      </c>
      <c r="F2200" t="s">
        <v>14</v>
      </c>
      <c r="G2200">
        <v>60</v>
      </c>
      <c r="H2200" s="11">
        <v>105</v>
      </c>
    </row>
    <row r="2201" spans="2:8" x14ac:dyDescent="0.25">
      <c r="B2201" s="8">
        <v>44879</v>
      </c>
      <c r="C2201" t="s">
        <v>27</v>
      </c>
      <c r="D2201" t="s">
        <v>18</v>
      </c>
      <c r="E2201" t="s">
        <v>9</v>
      </c>
      <c r="F2201" t="s">
        <v>14</v>
      </c>
      <c r="G2201">
        <v>36</v>
      </c>
      <c r="H2201" s="11">
        <v>88</v>
      </c>
    </row>
    <row r="2202" spans="2:8" x14ac:dyDescent="0.25">
      <c r="B2202" s="8">
        <v>44880</v>
      </c>
      <c r="C2202" t="s">
        <v>28</v>
      </c>
      <c r="D2202" t="s">
        <v>8</v>
      </c>
      <c r="E2202" t="s">
        <v>13</v>
      </c>
      <c r="F2202" t="s">
        <v>16</v>
      </c>
      <c r="G2202">
        <v>85</v>
      </c>
      <c r="H2202" s="11">
        <v>115</v>
      </c>
    </row>
    <row r="2203" spans="2:8" x14ac:dyDescent="0.25">
      <c r="B2203" s="8">
        <v>44880</v>
      </c>
      <c r="C2203" t="s">
        <v>22</v>
      </c>
      <c r="D2203" t="s">
        <v>12</v>
      </c>
      <c r="E2203" t="s">
        <v>13</v>
      </c>
      <c r="F2203" t="s">
        <v>10</v>
      </c>
      <c r="G2203">
        <v>74</v>
      </c>
      <c r="H2203" s="11">
        <v>78</v>
      </c>
    </row>
    <row r="2204" spans="2:8" x14ac:dyDescent="0.25">
      <c r="B2204" s="8">
        <v>44880</v>
      </c>
      <c r="C2204" t="s">
        <v>21</v>
      </c>
      <c r="D2204" t="s">
        <v>8</v>
      </c>
      <c r="E2204" t="s">
        <v>13</v>
      </c>
      <c r="F2204" t="s">
        <v>10</v>
      </c>
      <c r="G2204">
        <v>42</v>
      </c>
      <c r="H2204" s="11">
        <v>131</v>
      </c>
    </row>
    <row r="2205" spans="2:8" x14ac:dyDescent="0.25">
      <c r="B2205" s="8">
        <v>44880</v>
      </c>
      <c r="C2205" t="s">
        <v>20</v>
      </c>
      <c r="D2205" t="s">
        <v>8</v>
      </c>
      <c r="E2205" t="s">
        <v>13</v>
      </c>
      <c r="F2205" t="s">
        <v>10</v>
      </c>
      <c r="G2205">
        <v>11</v>
      </c>
      <c r="H2205" s="11">
        <v>129</v>
      </c>
    </row>
    <row r="2206" spans="2:8" x14ac:dyDescent="0.25">
      <c r="B2206" s="8">
        <v>44880</v>
      </c>
      <c r="C2206" t="s">
        <v>21</v>
      </c>
      <c r="D2206" t="s">
        <v>8</v>
      </c>
      <c r="E2206" t="s">
        <v>13</v>
      </c>
      <c r="F2206" t="s">
        <v>10</v>
      </c>
      <c r="G2206">
        <v>63</v>
      </c>
      <c r="H2206" s="11">
        <v>57</v>
      </c>
    </row>
    <row r="2207" spans="2:8" x14ac:dyDescent="0.25">
      <c r="B2207" s="8">
        <v>44880</v>
      </c>
      <c r="C2207" t="s">
        <v>28</v>
      </c>
      <c r="D2207" t="s">
        <v>8</v>
      </c>
      <c r="E2207" t="s">
        <v>13</v>
      </c>
      <c r="F2207" t="s">
        <v>16</v>
      </c>
      <c r="G2207">
        <v>27</v>
      </c>
      <c r="H2207" s="11">
        <v>136</v>
      </c>
    </row>
    <row r="2208" spans="2:8" x14ac:dyDescent="0.25">
      <c r="B2208" s="8">
        <v>44881</v>
      </c>
      <c r="C2208" t="s">
        <v>24</v>
      </c>
      <c r="D2208" t="s">
        <v>18</v>
      </c>
      <c r="E2208" t="s">
        <v>9</v>
      </c>
      <c r="F2208" t="s">
        <v>16</v>
      </c>
      <c r="G2208">
        <v>100</v>
      </c>
      <c r="H2208" s="11">
        <v>22</v>
      </c>
    </row>
    <row r="2209" spans="2:8" x14ac:dyDescent="0.25">
      <c r="B2209" s="8">
        <v>44881</v>
      </c>
      <c r="C2209" t="s">
        <v>21</v>
      </c>
      <c r="D2209" t="s">
        <v>8</v>
      </c>
      <c r="E2209" t="s">
        <v>13</v>
      </c>
      <c r="F2209" t="s">
        <v>14</v>
      </c>
      <c r="G2209">
        <v>87</v>
      </c>
      <c r="H2209" s="11">
        <v>65</v>
      </c>
    </row>
    <row r="2210" spans="2:8" x14ac:dyDescent="0.25">
      <c r="B2210" s="8">
        <v>44881</v>
      </c>
      <c r="C2210" t="s">
        <v>11</v>
      </c>
      <c r="D2210" t="s">
        <v>12</v>
      </c>
      <c r="E2210" t="s">
        <v>9</v>
      </c>
      <c r="F2210" t="s">
        <v>14</v>
      </c>
      <c r="G2210">
        <v>82</v>
      </c>
      <c r="H2210" s="11">
        <v>146</v>
      </c>
    </row>
    <row r="2211" spans="2:8" x14ac:dyDescent="0.25">
      <c r="B2211" s="8">
        <v>44881</v>
      </c>
      <c r="C2211" t="s">
        <v>11</v>
      </c>
      <c r="D2211" t="s">
        <v>12</v>
      </c>
      <c r="E2211" t="s">
        <v>9</v>
      </c>
      <c r="F2211" t="s">
        <v>10</v>
      </c>
      <c r="G2211">
        <v>86</v>
      </c>
      <c r="H2211" s="11">
        <v>134</v>
      </c>
    </row>
    <row r="2212" spans="2:8" x14ac:dyDescent="0.25">
      <c r="B2212" s="8">
        <v>44881</v>
      </c>
      <c r="C2212" t="s">
        <v>15</v>
      </c>
      <c r="D2212" t="s">
        <v>8</v>
      </c>
      <c r="E2212" t="s">
        <v>9</v>
      </c>
      <c r="F2212" t="s">
        <v>10</v>
      </c>
      <c r="G2212">
        <v>71</v>
      </c>
      <c r="H2212" s="11">
        <v>114</v>
      </c>
    </row>
    <row r="2213" spans="2:8" x14ac:dyDescent="0.25">
      <c r="B2213" s="8">
        <v>44882</v>
      </c>
      <c r="C2213" t="s">
        <v>27</v>
      </c>
      <c r="D2213" t="s">
        <v>18</v>
      </c>
      <c r="E2213" t="s">
        <v>13</v>
      </c>
      <c r="F2213" t="s">
        <v>10</v>
      </c>
      <c r="G2213">
        <v>26</v>
      </c>
      <c r="H2213" s="11">
        <v>68</v>
      </c>
    </row>
    <row r="2214" spans="2:8" x14ac:dyDescent="0.25">
      <c r="B2214" s="8">
        <v>44882</v>
      </c>
      <c r="C2214" t="s">
        <v>19</v>
      </c>
      <c r="D2214" t="s">
        <v>12</v>
      </c>
      <c r="E2214" t="s">
        <v>9</v>
      </c>
      <c r="F2214" t="s">
        <v>16</v>
      </c>
      <c r="G2214">
        <v>94</v>
      </c>
      <c r="H2214" s="11">
        <v>66</v>
      </c>
    </row>
    <row r="2215" spans="2:8" x14ac:dyDescent="0.25">
      <c r="B2215" s="8">
        <v>44882</v>
      </c>
      <c r="C2215" t="s">
        <v>28</v>
      </c>
      <c r="D2215" t="s">
        <v>8</v>
      </c>
      <c r="E2215" t="s">
        <v>9</v>
      </c>
      <c r="F2215" t="s">
        <v>16</v>
      </c>
      <c r="G2215">
        <v>29</v>
      </c>
      <c r="H2215" s="11">
        <v>143</v>
      </c>
    </row>
    <row r="2216" spans="2:8" x14ac:dyDescent="0.25">
      <c r="B2216" s="8">
        <v>44882</v>
      </c>
      <c r="C2216" t="s">
        <v>22</v>
      </c>
      <c r="D2216" t="s">
        <v>12</v>
      </c>
      <c r="E2216" t="s">
        <v>9</v>
      </c>
      <c r="F2216" t="s">
        <v>10</v>
      </c>
      <c r="G2216">
        <v>21</v>
      </c>
      <c r="H2216" s="11">
        <v>32</v>
      </c>
    </row>
    <row r="2217" spans="2:8" x14ac:dyDescent="0.25">
      <c r="B2217" s="8">
        <v>44882</v>
      </c>
      <c r="C2217" t="s">
        <v>21</v>
      </c>
      <c r="D2217" t="s">
        <v>8</v>
      </c>
      <c r="E2217" t="s">
        <v>9</v>
      </c>
      <c r="F2217" t="s">
        <v>16</v>
      </c>
      <c r="G2217">
        <v>45</v>
      </c>
      <c r="H2217" s="11">
        <v>89</v>
      </c>
    </row>
    <row r="2218" spans="2:8" x14ac:dyDescent="0.25">
      <c r="B2218" s="8">
        <v>44882</v>
      </c>
      <c r="C2218" t="s">
        <v>21</v>
      </c>
      <c r="D2218" t="s">
        <v>8</v>
      </c>
      <c r="E2218" t="s">
        <v>9</v>
      </c>
      <c r="F2218" t="s">
        <v>14</v>
      </c>
      <c r="G2218">
        <v>97</v>
      </c>
      <c r="H2218" s="11">
        <v>79</v>
      </c>
    </row>
    <row r="2219" spans="2:8" x14ac:dyDescent="0.25">
      <c r="B2219" s="8">
        <v>44882</v>
      </c>
      <c r="C2219" t="s">
        <v>25</v>
      </c>
      <c r="D2219" t="s">
        <v>12</v>
      </c>
      <c r="E2219" t="s">
        <v>13</v>
      </c>
      <c r="F2219" t="s">
        <v>14</v>
      </c>
      <c r="G2219">
        <v>89</v>
      </c>
      <c r="H2219" s="11">
        <v>98</v>
      </c>
    </row>
    <row r="2220" spans="2:8" x14ac:dyDescent="0.25">
      <c r="B2220" s="8">
        <v>44882</v>
      </c>
      <c r="C2220" t="s">
        <v>19</v>
      </c>
      <c r="D2220" t="s">
        <v>12</v>
      </c>
      <c r="E2220" t="s">
        <v>13</v>
      </c>
      <c r="F2220" t="s">
        <v>10</v>
      </c>
      <c r="G2220">
        <v>94</v>
      </c>
      <c r="H2220" s="11">
        <v>77</v>
      </c>
    </row>
    <row r="2221" spans="2:8" x14ac:dyDescent="0.25">
      <c r="B2221" s="8">
        <v>44882</v>
      </c>
      <c r="C2221" t="s">
        <v>7</v>
      </c>
      <c r="D2221" t="s">
        <v>8</v>
      </c>
      <c r="E2221" t="s">
        <v>13</v>
      </c>
      <c r="F2221" t="s">
        <v>10</v>
      </c>
      <c r="G2221">
        <v>55</v>
      </c>
      <c r="H2221" s="11">
        <v>22</v>
      </c>
    </row>
    <row r="2222" spans="2:8" x14ac:dyDescent="0.25">
      <c r="B2222" s="8">
        <v>44882</v>
      </c>
      <c r="C2222" t="s">
        <v>17</v>
      </c>
      <c r="D2222" t="s">
        <v>18</v>
      </c>
      <c r="E2222" t="s">
        <v>13</v>
      </c>
      <c r="F2222" t="s">
        <v>10</v>
      </c>
      <c r="G2222">
        <v>29</v>
      </c>
      <c r="H2222" s="11">
        <v>51</v>
      </c>
    </row>
    <row r="2223" spans="2:8" x14ac:dyDescent="0.25">
      <c r="B2223" s="8">
        <v>44883</v>
      </c>
      <c r="C2223" t="s">
        <v>24</v>
      </c>
      <c r="D2223" t="s">
        <v>18</v>
      </c>
      <c r="E2223" t="s">
        <v>13</v>
      </c>
      <c r="F2223" t="s">
        <v>16</v>
      </c>
      <c r="G2223">
        <v>15</v>
      </c>
      <c r="H2223" s="11">
        <v>137</v>
      </c>
    </row>
    <row r="2224" spans="2:8" x14ac:dyDescent="0.25">
      <c r="B2224" s="8">
        <v>44883</v>
      </c>
      <c r="C2224" t="s">
        <v>17</v>
      </c>
      <c r="D2224" t="s">
        <v>18</v>
      </c>
      <c r="E2224" t="s">
        <v>13</v>
      </c>
      <c r="F2224" t="s">
        <v>14</v>
      </c>
      <c r="G2224">
        <v>87</v>
      </c>
      <c r="H2224" s="11">
        <v>50</v>
      </c>
    </row>
    <row r="2225" spans="2:8" x14ac:dyDescent="0.25">
      <c r="B2225" s="8">
        <v>44883</v>
      </c>
      <c r="C2225" t="s">
        <v>20</v>
      </c>
      <c r="D2225" t="s">
        <v>8</v>
      </c>
      <c r="E2225" t="s">
        <v>13</v>
      </c>
      <c r="F2225" t="s">
        <v>14</v>
      </c>
      <c r="G2225">
        <v>62</v>
      </c>
      <c r="H2225" s="11">
        <v>128</v>
      </c>
    </row>
    <row r="2226" spans="2:8" x14ac:dyDescent="0.25">
      <c r="B2226" s="8">
        <v>44883</v>
      </c>
      <c r="C2226" t="s">
        <v>29</v>
      </c>
      <c r="D2226" t="s">
        <v>18</v>
      </c>
      <c r="E2226" t="s">
        <v>9</v>
      </c>
      <c r="F2226" t="s">
        <v>14</v>
      </c>
      <c r="G2226">
        <v>12</v>
      </c>
      <c r="H2226" s="11">
        <v>84</v>
      </c>
    </row>
    <row r="2227" spans="2:8" x14ac:dyDescent="0.25">
      <c r="B2227" s="8">
        <v>44884</v>
      </c>
      <c r="C2227" t="s">
        <v>25</v>
      </c>
      <c r="D2227" t="s">
        <v>12</v>
      </c>
      <c r="E2227" t="s">
        <v>13</v>
      </c>
      <c r="F2227" t="s">
        <v>10</v>
      </c>
      <c r="G2227">
        <v>15</v>
      </c>
      <c r="H2227" s="11">
        <v>73</v>
      </c>
    </row>
    <row r="2228" spans="2:8" x14ac:dyDescent="0.25">
      <c r="B2228" s="8">
        <v>44884</v>
      </c>
      <c r="C2228" t="s">
        <v>15</v>
      </c>
      <c r="D2228" t="s">
        <v>8</v>
      </c>
      <c r="E2228" t="s">
        <v>13</v>
      </c>
      <c r="F2228" t="s">
        <v>16</v>
      </c>
      <c r="G2228">
        <v>18</v>
      </c>
      <c r="H2228" s="11">
        <v>148</v>
      </c>
    </row>
    <row r="2229" spans="2:8" x14ac:dyDescent="0.25">
      <c r="B2229" s="8">
        <v>44884</v>
      </c>
      <c r="C2229" t="s">
        <v>25</v>
      </c>
      <c r="D2229" t="s">
        <v>12</v>
      </c>
      <c r="E2229" t="s">
        <v>9</v>
      </c>
      <c r="F2229" t="s">
        <v>16</v>
      </c>
      <c r="G2229">
        <v>60</v>
      </c>
      <c r="H2229" s="11">
        <v>64</v>
      </c>
    </row>
    <row r="2230" spans="2:8" x14ac:dyDescent="0.25">
      <c r="B2230" s="8">
        <v>44884</v>
      </c>
      <c r="C2230" t="s">
        <v>15</v>
      </c>
      <c r="D2230" t="s">
        <v>8</v>
      </c>
      <c r="E2230" t="s">
        <v>13</v>
      </c>
      <c r="F2230" t="s">
        <v>14</v>
      </c>
      <c r="G2230">
        <v>15</v>
      </c>
      <c r="H2230" s="11">
        <v>77</v>
      </c>
    </row>
    <row r="2231" spans="2:8" x14ac:dyDescent="0.25">
      <c r="B2231" s="8">
        <v>44884</v>
      </c>
      <c r="C2231" t="s">
        <v>7</v>
      </c>
      <c r="D2231" t="s">
        <v>8</v>
      </c>
      <c r="E2231" t="s">
        <v>13</v>
      </c>
      <c r="F2231" t="s">
        <v>10</v>
      </c>
      <c r="G2231">
        <v>35</v>
      </c>
      <c r="H2231" s="11">
        <v>104</v>
      </c>
    </row>
    <row r="2232" spans="2:8" x14ac:dyDescent="0.25">
      <c r="B2232" s="8">
        <v>44884</v>
      </c>
      <c r="C2232" t="s">
        <v>7</v>
      </c>
      <c r="D2232" t="s">
        <v>8</v>
      </c>
      <c r="E2232" t="s">
        <v>9</v>
      </c>
      <c r="F2232" t="s">
        <v>14</v>
      </c>
      <c r="G2232">
        <v>91</v>
      </c>
      <c r="H2232" s="11">
        <v>84</v>
      </c>
    </row>
    <row r="2233" spans="2:8" x14ac:dyDescent="0.25">
      <c r="B2233" s="8">
        <v>44884</v>
      </c>
      <c r="C2233" t="s">
        <v>7</v>
      </c>
      <c r="D2233" t="s">
        <v>8</v>
      </c>
      <c r="E2233" t="s">
        <v>13</v>
      </c>
      <c r="F2233" t="s">
        <v>14</v>
      </c>
      <c r="G2233">
        <v>79</v>
      </c>
      <c r="H2233" s="11">
        <v>104</v>
      </c>
    </row>
    <row r="2234" spans="2:8" x14ac:dyDescent="0.25">
      <c r="B2234" s="8">
        <v>44884</v>
      </c>
      <c r="C2234" t="s">
        <v>28</v>
      </c>
      <c r="D2234" t="s">
        <v>8</v>
      </c>
      <c r="E2234" t="s">
        <v>13</v>
      </c>
      <c r="F2234" t="s">
        <v>10</v>
      </c>
      <c r="G2234">
        <v>58</v>
      </c>
      <c r="H2234" s="11">
        <v>140</v>
      </c>
    </row>
    <row r="2235" spans="2:8" x14ac:dyDescent="0.25">
      <c r="B2235" s="8">
        <v>44884</v>
      </c>
      <c r="C2235" t="s">
        <v>21</v>
      </c>
      <c r="D2235" t="s">
        <v>8</v>
      </c>
      <c r="E2235" t="s">
        <v>9</v>
      </c>
      <c r="F2235" t="s">
        <v>16</v>
      </c>
      <c r="G2235">
        <v>100</v>
      </c>
      <c r="H2235" s="11">
        <v>101</v>
      </c>
    </row>
    <row r="2236" spans="2:8" x14ac:dyDescent="0.25">
      <c r="B2236" s="8">
        <v>44884</v>
      </c>
      <c r="C2236" t="s">
        <v>19</v>
      </c>
      <c r="D2236" t="s">
        <v>12</v>
      </c>
      <c r="E2236" t="s">
        <v>9</v>
      </c>
      <c r="F2236" t="s">
        <v>10</v>
      </c>
      <c r="G2236">
        <v>52</v>
      </c>
      <c r="H2236" s="11">
        <v>103</v>
      </c>
    </row>
    <row r="2237" spans="2:8" x14ac:dyDescent="0.25">
      <c r="B2237" s="8">
        <v>44885</v>
      </c>
      <c r="C2237" t="s">
        <v>21</v>
      </c>
      <c r="D2237" t="s">
        <v>8</v>
      </c>
      <c r="E2237" t="s">
        <v>13</v>
      </c>
      <c r="F2237" t="s">
        <v>16</v>
      </c>
      <c r="G2237">
        <v>98</v>
      </c>
      <c r="H2237" s="11">
        <v>27</v>
      </c>
    </row>
    <row r="2238" spans="2:8" x14ac:dyDescent="0.25">
      <c r="B2238" s="8">
        <v>44885</v>
      </c>
      <c r="C2238" t="s">
        <v>11</v>
      </c>
      <c r="D2238" t="s">
        <v>12</v>
      </c>
      <c r="E2238" t="s">
        <v>13</v>
      </c>
      <c r="F2238" t="s">
        <v>16</v>
      </c>
      <c r="G2238">
        <v>41</v>
      </c>
      <c r="H2238" s="11">
        <v>112</v>
      </c>
    </row>
    <row r="2239" spans="2:8" x14ac:dyDescent="0.25">
      <c r="B2239" s="8">
        <v>44885</v>
      </c>
      <c r="C2239" t="s">
        <v>15</v>
      </c>
      <c r="D2239" t="s">
        <v>8</v>
      </c>
      <c r="E2239" t="s">
        <v>13</v>
      </c>
      <c r="F2239" t="s">
        <v>16</v>
      </c>
      <c r="G2239">
        <v>52</v>
      </c>
      <c r="H2239" s="11">
        <v>22</v>
      </c>
    </row>
    <row r="2240" spans="2:8" x14ac:dyDescent="0.25">
      <c r="B2240" s="8">
        <v>44886</v>
      </c>
      <c r="C2240" t="s">
        <v>26</v>
      </c>
      <c r="D2240" t="s">
        <v>12</v>
      </c>
      <c r="E2240" t="s">
        <v>13</v>
      </c>
      <c r="F2240" t="s">
        <v>10</v>
      </c>
      <c r="G2240">
        <v>99</v>
      </c>
      <c r="H2240" s="11">
        <v>90</v>
      </c>
    </row>
    <row r="2241" spans="2:8" x14ac:dyDescent="0.25">
      <c r="B2241" s="8">
        <v>44886</v>
      </c>
      <c r="C2241" t="s">
        <v>27</v>
      </c>
      <c r="D2241" t="s">
        <v>18</v>
      </c>
      <c r="E2241" t="s">
        <v>13</v>
      </c>
      <c r="F2241" t="s">
        <v>14</v>
      </c>
      <c r="G2241">
        <v>92</v>
      </c>
      <c r="H2241" s="11">
        <v>123</v>
      </c>
    </row>
    <row r="2242" spans="2:8" x14ac:dyDescent="0.25">
      <c r="B2242" s="8">
        <v>44886</v>
      </c>
      <c r="C2242" t="s">
        <v>24</v>
      </c>
      <c r="D2242" t="s">
        <v>18</v>
      </c>
      <c r="E2242" t="s">
        <v>13</v>
      </c>
      <c r="F2242" t="s">
        <v>10</v>
      </c>
      <c r="G2242">
        <v>35</v>
      </c>
      <c r="H2242" s="11">
        <v>25</v>
      </c>
    </row>
    <row r="2243" spans="2:8" x14ac:dyDescent="0.25">
      <c r="B2243" s="8">
        <v>44886</v>
      </c>
      <c r="C2243" t="s">
        <v>24</v>
      </c>
      <c r="D2243" t="s">
        <v>18</v>
      </c>
      <c r="E2243" t="s">
        <v>13</v>
      </c>
      <c r="F2243" t="s">
        <v>10</v>
      </c>
      <c r="G2243">
        <v>50</v>
      </c>
      <c r="H2243" s="11">
        <v>65</v>
      </c>
    </row>
    <row r="2244" spans="2:8" x14ac:dyDescent="0.25">
      <c r="B2244" s="8">
        <v>44887</v>
      </c>
      <c r="C2244" t="s">
        <v>28</v>
      </c>
      <c r="D2244" t="s">
        <v>8</v>
      </c>
      <c r="E2244" t="s">
        <v>9</v>
      </c>
      <c r="F2244" t="s">
        <v>10</v>
      </c>
      <c r="G2244">
        <v>72</v>
      </c>
      <c r="H2244" s="11">
        <v>74</v>
      </c>
    </row>
    <row r="2245" spans="2:8" x14ac:dyDescent="0.25">
      <c r="B2245" s="8">
        <v>44887</v>
      </c>
      <c r="C2245" t="s">
        <v>11</v>
      </c>
      <c r="D2245" t="s">
        <v>12</v>
      </c>
      <c r="E2245" t="s">
        <v>9</v>
      </c>
      <c r="F2245" t="s">
        <v>16</v>
      </c>
      <c r="G2245">
        <v>35</v>
      </c>
      <c r="H2245" s="11">
        <v>145</v>
      </c>
    </row>
    <row r="2246" spans="2:8" x14ac:dyDescent="0.25">
      <c r="B2246" s="8">
        <v>44887</v>
      </c>
      <c r="C2246" t="s">
        <v>19</v>
      </c>
      <c r="D2246" t="s">
        <v>12</v>
      </c>
      <c r="E2246" t="s">
        <v>13</v>
      </c>
      <c r="F2246" t="s">
        <v>14</v>
      </c>
      <c r="G2246">
        <v>29</v>
      </c>
      <c r="H2246" s="11">
        <v>112</v>
      </c>
    </row>
    <row r="2247" spans="2:8" x14ac:dyDescent="0.25">
      <c r="B2247" s="8">
        <v>44887</v>
      </c>
      <c r="C2247" t="s">
        <v>27</v>
      </c>
      <c r="D2247" t="s">
        <v>18</v>
      </c>
      <c r="E2247" t="s">
        <v>13</v>
      </c>
      <c r="F2247" t="s">
        <v>14</v>
      </c>
      <c r="G2247">
        <v>24</v>
      </c>
      <c r="H2247" s="11">
        <v>49</v>
      </c>
    </row>
    <row r="2248" spans="2:8" x14ac:dyDescent="0.25">
      <c r="B2248" s="8">
        <v>44887</v>
      </c>
      <c r="C2248" t="s">
        <v>29</v>
      </c>
      <c r="D2248" t="s">
        <v>18</v>
      </c>
      <c r="E2248" t="s">
        <v>9</v>
      </c>
      <c r="F2248" t="s">
        <v>16</v>
      </c>
      <c r="G2248">
        <v>55</v>
      </c>
      <c r="H2248" s="11">
        <v>137</v>
      </c>
    </row>
    <row r="2249" spans="2:8" x14ac:dyDescent="0.25">
      <c r="B2249" s="8">
        <v>44887</v>
      </c>
      <c r="C2249" t="s">
        <v>15</v>
      </c>
      <c r="D2249" t="s">
        <v>8</v>
      </c>
      <c r="E2249" t="s">
        <v>13</v>
      </c>
      <c r="F2249" t="s">
        <v>10</v>
      </c>
      <c r="G2249">
        <v>87</v>
      </c>
      <c r="H2249" s="11">
        <v>125</v>
      </c>
    </row>
    <row r="2250" spans="2:8" x14ac:dyDescent="0.25">
      <c r="B2250" s="8">
        <v>44888</v>
      </c>
      <c r="C2250" t="s">
        <v>22</v>
      </c>
      <c r="D2250" t="s">
        <v>12</v>
      </c>
      <c r="E2250" t="s">
        <v>13</v>
      </c>
      <c r="F2250" t="s">
        <v>14</v>
      </c>
      <c r="G2250">
        <v>21</v>
      </c>
      <c r="H2250" s="11">
        <v>71</v>
      </c>
    </row>
    <row r="2251" spans="2:8" x14ac:dyDescent="0.25">
      <c r="B2251" s="8">
        <v>44888</v>
      </c>
      <c r="C2251" t="s">
        <v>24</v>
      </c>
      <c r="D2251" t="s">
        <v>18</v>
      </c>
      <c r="E2251" t="s">
        <v>9</v>
      </c>
      <c r="F2251" t="s">
        <v>16</v>
      </c>
      <c r="G2251">
        <v>56</v>
      </c>
      <c r="H2251" s="11">
        <v>84</v>
      </c>
    </row>
    <row r="2252" spans="2:8" x14ac:dyDescent="0.25">
      <c r="B2252" s="8">
        <v>44888</v>
      </c>
      <c r="C2252" t="s">
        <v>25</v>
      </c>
      <c r="D2252" t="s">
        <v>12</v>
      </c>
      <c r="E2252" t="s">
        <v>13</v>
      </c>
      <c r="F2252" t="s">
        <v>14</v>
      </c>
      <c r="G2252">
        <v>22</v>
      </c>
      <c r="H2252" s="11">
        <v>147</v>
      </c>
    </row>
    <row r="2253" spans="2:8" x14ac:dyDescent="0.25">
      <c r="B2253" s="8">
        <v>44888</v>
      </c>
      <c r="C2253" t="s">
        <v>19</v>
      </c>
      <c r="D2253" t="s">
        <v>12</v>
      </c>
      <c r="E2253" t="s">
        <v>9</v>
      </c>
      <c r="F2253" t="s">
        <v>14</v>
      </c>
      <c r="G2253">
        <v>58</v>
      </c>
      <c r="H2253" s="11">
        <v>96</v>
      </c>
    </row>
    <row r="2254" spans="2:8" x14ac:dyDescent="0.25">
      <c r="B2254" s="8">
        <v>44889</v>
      </c>
      <c r="C2254" t="s">
        <v>29</v>
      </c>
      <c r="D2254" t="s">
        <v>18</v>
      </c>
      <c r="E2254" t="s">
        <v>13</v>
      </c>
      <c r="F2254" t="s">
        <v>16</v>
      </c>
      <c r="G2254">
        <v>59</v>
      </c>
      <c r="H2254" s="11">
        <v>145</v>
      </c>
    </row>
    <row r="2255" spans="2:8" x14ac:dyDescent="0.25">
      <c r="B2255" s="8">
        <v>44889</v>
      </c>
      <c r="C2255" t="s">
        <v>20</v>
      </c>
      <c r="D2255" t="s">
        <v>8</v>
      </c>
      <c r="E2255" t="s">
        <v>9</v>
      </c>
      <c r="F2255" t="s">
        <v>10</v>
      </c>
      <c r="G2255">
        <v>26</v>
      </c>
      <c r="H2255" s="11">
        <v>48</v>
      </c>
    </row>
    <row r="2256" spans="2:8" x14ac:dyDescent="0.25">
      <c r="B2256" s="8">
        <v>44889</v>
      </c>
      <c r="C2256" t="s">
        <v>7</v>
      </c>
      <c r="D2256" t="s">
        <v>8</v>
      </c>
      <c r="E2256" t="s">
        <v>9</v>
      </c>
      <c r="F2256" t="s">
        <v>16</v>
      </c>
      <c r="G2256">
        <v>50</v>
      </c>
      <c r="H2256" s="11">
        <v>100</v>
      </c>
    </row>
    <row r="2257" spans="2:8" x14ac:dyDescent="0.25">
      <c r="B2257" s="8">
        <v>44889</v>
      </c>
      <c r="C2257" t="s">
        <v>21</v>
      </c>
      <c r="D2257" t="s">
        <v>8</v>
      </c>
      <c r="E2257" t="s">
        <v>13</v>
      </c>
      <c r="F2257" t="s">
        <v>16</v>
      </c>
      <c r="G2257">
        <v>93</v>
      </c>
      <c r="H2257" s="11">
        <v>98</v>
      </c>
    </row>
    <row r="2258" spans="2:8" x14ac:dyDescent="0.25">
      <c r="B2258" s="8">
        <v>44889</v>
      </c>
      <c r="C2258" t="s">
        <v>17</v>
      </c>
      <c r="D2258" t="s">
        <v>18</v>
      </c>
      <c r="E2258" t="s">
        <v>9</v>
      </c>
      <c r="F2258" t="s">
        <v>14</v>
      </c>
      <c r="G2258">
        <v>38</v>
      </c>
      <c r="H2258" s="11">
        <v>92</v>
      </c>
    </row>
    <row r="2259" spans="2:8" x14ac:dyDescent="0.25">
      <c r="B2259" s="8">
        <v>44889</v>
      </c>
      <c r="C2259" t="s">
        <v>15</v>
      </c>
      <c r="D2259" t="s">
        <v>8</v>
      </c>
      <c r="E2259" t="s">
        <v>9</v>
      </c>
      <c r="F2259" t="s">
        <v>14</v>
      </c>
      <c r="G2259">
        <v>71</v>
      </c>
      <c r="H2259" s="11">
        <v>120</v>
      </c>
    </row>
    <row r="2260" spans="2:8" x14ac:dyDescent="0.25">
      <c r="B2260" s="8">
        <v>44890</v>
      </c>
      <c r="C2260" t="s">
        <v>22</v>
      </c>
      <c r="D2260" t="s">
        <v>12</v>
      </c>
      <c r="E2260" t="s">
        <v>13</v>
      </c>
      <c r="F2260" t="s">
        <v>14</v>
      </c>
      <c r="G2260">
        <v>92</v>
      </c>
      <c r="H2260" s="11">
        <v>47</v>
      </c>
    </row>
    <row r="2261" spans="2:8" x14ac:dyDescent="0.25">
      <c r="B2261" s="8">
        <v>44890</v>
      </c>
      <c r="C2261" t="s">
        <v>21</v>
      </c>
      <c r="D2261" t="s">
        <v>8</v>
      </c>
      <c r="E2261" t="s">
        <v>9</v>
      </c>
      <c r="F2261" t="s">
        <v>10</v>
      </c>
      <c r="G2261">
        <v>69</v>
      </c>
      <c r="H2261" s="11">
        <v>31</v>
      </c>
    </row>
    <row r="2262" spans="2:8" x14ac:dyDescent="0.25">
      <c r="B2262" s="8">
        <v>44890</v>
      </c>
      <c r="C2262" t="s">
        <v>22</v>
      </c>
      <c r="D2262" t="s">
        <v>12</v>
      </c>
      <c r="E2262" t="s">
        <v>9</v>
      </c>
      <c r="F2262" t="s">
        <v>10</v>
      </c>
      <c r="G2262">
        <v>69</v>
      </c>
      <c r="H2262" s="11">
        <v>118</v>
      </c>
    </row>
    <row r="2263" spans="2:8" x14ac:dyDescent="0.25">
      <c r="B2263" s="8">
        <v>44891</v>
      </c>
      <c r="C2263" t="s">
        <v>17</v>
      </c>
      <c r="D2263" t="s">
        <v>18</v>
      </c>
      <c r="E2263" t="s">
        <v>13</v>
      </c>
      <c r="F2263" t="s">
        <v>10</v>
      </c>
      <c r="G2263">
        <v>26</v>
      </c>
      <c r="H2263" s="11">
        <v>44</v>
      </c>
    </row>
    <row r="2264" spans="2:8" x14ac:dyDescent="0.25">
      <c r="B2264" s="8">
        <v>44891</v>
      </c>
      <c r="C2264" t="s">
        <v>29</v>
      </c>
      <c r="D2264" t="s">
        <v>18</v>
      </c>
      <c r="E2264" t="s">
        <v>9</v>
      </c>
      <c r="F2264" t="s">
        <v>10</v>
      </c>
      <c r="G2264">
        <v>87</v>
      </c>
      <c r="H2264" s="11">
        <v>56</v>
      </c>
    </row>
    <row r="2265" spans="2:8" x14ac:dyDescent="0.25">
      <c r="B2265" s="8">
        <v>44891</v>
      </c>
      <c r="C2265" t="s">
        <v>28</v>
      </c>
      <c r="D2265" t="s">
        <v>8</v>
      </c>
      <c r="E2265" t="s">
        <v>9</v>
      </c>
      <c r="F2265" t="s">
        <v>14</v>
      </c>
      <c r="G2265">
        <v>52</v>
      </c>
      <c r="H2265" s="11">
        <v>111</v>
      </c>
    </row>
    <row r="2266" spans="2:8" x14ac:dyDescent="0.25">
      <c r="B2266" s="8">
        <v>44891</v>
      </c>
      <c r="C2266" t="s">
        <v>11</v>
      </c>
      <c r="D2266" t="s">
        <v>12</v>
      </c>
      <c r="E2266" t="s">
        <v>9</v>
      </c>
      <c r="F2266" t="s">
        <v>10</v>
      </c>
      <c r="G2266">
        <v>52</v>
      </c>
      <c r="H2266" s="11">
        <v>31</v>
      </c>
    </row>
    <row r="2267" spans="2:8" x14ac:dyDescent="0.25">
      <c r="B2267" s="8">
        <v>44891</v>
      </c>
      <c r="C2267" t="s">
        <v>11</v>
      </c>
      <c r="D2267" t="s">
        <v>12</v>
      </c>
      <c r="E2267" t="s">
        <v>13</v>
      </c>
      <c r="F2267" t="s">
        <v>10</v>
      </c>
      <c r="G2267">
        <v>72</v>
      </c>
      <c r="H2267" s="11">
        <v>64</v>
      </c>
    </row>
    <row r="2268" spans="2:8" x14ac:dyDescent="0.25">
      <c r="B2268" s="8">
        <v>44891</v>
      </c>
      <c r="C2268" t="s">
        <v>15</v>
      </c>
      <c r="D2268" t="s">
        <v>8</v>
      </c>
      <c r="E2268" t="s">
        <v>13</v>
      </c>
      <c r="F2268" t="s">
        <v>16</v>
      </c>
      <c r="G2268">
        <v>80</v>
      </c>
      <c r="H2268" s="11">
        <v>144</v>
      </c>
    </row>
    <row r="2269" spans="2:8" x14ac:dyDescent="0.25">
      <c r="B2269" s="8">
        <v>44891</v>
      </c>
      <c r="C2269" t="s">
        <v>17</v>
      </c>
      <c r="D2269" t="s">
        <v>18</v>
      </c>
      <c r="E2269" t="s">
        <v>9</v>
      </c>
      <c r="F2269" t="s">
        <v>16</v>
      </c>
      <c r="G2269">
        <v>19</v>
      </c>
      <c r="H2269" s="11">
        <v>67</v>
      </c>
    </row>
    <row r="2270" spans="2:8" x14ac:dyDescent="0.25">
      <c r="B2270" s="8">
        <v>44891</v>
      </c>
      <c r="C2270" t="s">
        <v>26</v>
      </c>
      <c r="D2270" t="s">
        <v>12</v>
      </c>
      <c r="E2270" t="s">
        <v>9</v>
      </c>
      <c r="F2270" t="s">
        <v>14</v>
      </c>
      <c r="G2270">
        <v>99</v>
      </c>
      <c r="H2270" s="11">
        <v>74</v>
      </c>
    </row>
    <row r="2271" spans="2:8" x14ac:dyDescent="0.25">
      <c r="B2271" s="8">
        <v>44892</v>
      </c>
      <c r="C2271" t="s">
        <v>11</v>
      </c>
      <c r="D2271" t="s">
        <v>12</v>
      </c>
      <c r="E2271" t="s">
        <v>9</v>
      </c>
      <c r="F2271" t="s">
        <v>16</v>
      </c>
      <c r="G2271">
        <v>51</v>
      </c>
      <c r="H2271" s="11">
        <v>88</v>
      </c>
    </row>
    <row r="2272" spans="2:8" x14ac:dyDescent="0.25">
      <c r="B2272" s="8">
        <v>44892</v>
      </c>
      <c r="C2272" t="s">
        <v>25</v>
      </c>
      <c r="D2272" t="s">
        <v>12</v>
      </c>
      <c r="E2272" t="s">
        <v>9</v>
      </c>
      <c r="F2272" t="s">
        <v>10</v>
      </c>
      <c r="G2272">
        <v>57</v>
      </c>
      <c r="H2272" s="11">
        <v>67</v>
      </c>
    </row>
    <row r="2273" spans="2:8" x14ac:dyDescent="0.25">
      <c r="B2273" s="8">
        <v>44892</v>
      </c>
      <c r="C2273" t="s">
        <v>26</v>
      </c>
      <c r="D2273" t="s">
        <v>12</v>
      </c>
      <c r="E2273" t="s">
        <v>9</v>
      </c>
      <c r="F2273" t="s">
        <v>14</v>
      </c>
      <c r="G2273">
        <v>42</v>
      </c>
      <c r="H2273" s="11">
        <v>86</v>
      </c>
    </row>
    <row r="2274" spans="2:8" x14ac:dyDescent="0.25">
      <c r="B2274" s="8">
        <v>44892</v>
      </c>
      <c r="C2274" t="s">
        <v>19</v>
      </c>
      <c r="D2274" t="s">
        <v>12</v>
      </c>
      <c r="E2274" t="s">
        <v>13</v>
      </c>
      <c r="F2274" t="s">
        <v>10</v>
      </c>
      <c r="G2274">
        <v>83</v>
      </c>
      <c r="H2274" s="11">
        <v>119</v>
      </c>
    </row>
    <row r="2275" spans="2:8" x14ac:dyDescent="0.25">
      <c r="B2275" s="8">
        <v>44893</v>
      </c>
      <c r="C2275" t="s">
        <v>20</v>
      </c>
      <c r="D2275" t="s">
        <v>8</v>
      </c>
      <c r="E2275" t="s">
        <v>9</v>
      </c>
      <c r="F2275" t="s">
        <v>10</v>
      </c>
      <c r="G2275">
        <v>77</v>
      </c>
      <c r="H2275" s="11">
        <v>106</v>
      </c>
    </row>
    <row r="2276" spans="2:8" x14ac:dyDescent="0.25">
      <c r="B2276" s="8">
        <v>44893</v>
      </c>
      <c r="C2276" t="s">
        <v>15</v>
      </c>
      <c r="D2276" t="s">
        <v>8</v>
      </c>
      <c r="E2276" t="s">
        <v>13</v>
      </c>
      <c r="F2276" t="s">
        <v>10</v>
      </c>
      <c r="G2276">
        <v>48</v>
      </c>
      <c r="H2276" s="11">
        <v>78</v>
      </c>
    </row>
    <row r="2277" spans="2:8" x14ac:dyDescent="0.25">
      <c r="B2277" s="8">
        <v>44893</v>
      </c>
      <c r="C2277" t="s">
        <v>28</v>
      </c>
      <c r="D2277" t="s">
        <v>8</v>
      </c>
      <c r="E2277" t="s">
        <v>13</v>
      </c>
      <c r="F2277" t="s">
        <v>16</v>
      </c>
      <c r="G2277">
        <v>71</v>
      </c>
      <c r="H2277" s="11">
        <v>99</v>
      </c>
    </row>
    <row r="2278" spans="2:8" x14ac:dyDescent="0.25">
      <c r="B2278" s="8">
        <v>44893</v>
      </c>
      <c r="C2278" t="s">
        <v>23</v>
      </c>
      <c r="D2278" t="s">
        <v>18</v>
      </c>
      <c r="E2278" t="s">
        <v>13</v>
      </c>
      <c r="F2278" t="s">
        <v>16</v>
      </c>
      <c r="G2278">
        <v>73</v>
      </c>
      <c r="H2278" s="11">
        <v>33</v>
      </c>
    </row>
    <row r="2279" spans="2:8" x14ac:dyDescent="0.25">
      <c r="B2279" s="8">
        <v>44893</v>
      </c>
      <c r="C2279" t="s">
        <v>23</v>
      </c>
      <c r="D2279" t="s">
        <v>18</v>
      </c>
      <c r="E2279" t="s">
        <v>9</v>
      </c>
      <c r="F2279" t="s">
        <v>14</v>
      </c>
      <c r="G2279">
        <v>30</v>
      </c>
      <c r="H2279" s="11">
        <v>31</v>
      </c>
    </row>
    <row r="2280" spans="2:8" x14ac:dyDescent="0.25">
      <c r="B2280" s="8">
        <v>44893</v>
      </c>
      <c r="C2280" t="s">
        <v>25</v>
      </c>
      <c r="D2280" t="s">
        <v>12</v>
      </c>
      <c r="E2280" t="s">
        <v>9</v>
      </c>
      <c r="F2280" t="s">
        <v>10</v>
      </c>
      <c r="G2280">
        <v>92</v>
      </c>
      <c r="H2280" s="11">
        <v>126</v>
      </c>
    </row>
    <row r="2281" spans="2:8" x14ac:dyDescent="0.25">
      <c r="B2281" s="8">
        <v>44893</v>
      </c>
      <c r="C2281" t="s">
        <v>19</v>
      </c>
      <c r="D2281" t="s">
        <v>12</v>
      </c>
      <c r="E2281" t="s">
        <v>9</v>
      </c>
      <c r="F2281" t="s">
        <v>10</v>
      </c>
      <c r="G2281">
        <v>93</v>
      </c>
      <c r="H2281" s="11">
        <v>133</v>
      </c>
    </row>
    <row r="2282" spans="2:8" x14ac:dyDescent="0.25">
      <c r="B2282" s="8">
        <v>44893</v>
      </c>
      <c r="C2282" t="s">
        <v>21</v>
      </c>
      <c r="D2282" t="s">
        <v>8</v>
      </c>
      <c r="E2282" t="s">
        <v>13</v>
      </c>
      <c r="F2282" t="s">
        <v>10</v>
      </c>
      <c r="G2282">
        <v>12</v>
      </c>
      <c r="H2282" s="11">
        <v>28</v>
      </c>
    </row>
    <row r="2283" spans="2:8" x14ac:dyDescent="0.25">
      <c r="B2283" s="8">
        <v>44894</v>
      </c>
      <c r="C2283" t="s">
        <v>23</v>
      </c>
      <c r="D2283" t="s">
        <v>18</v>
      </c>
      <c r="E2283" t="s">
        <v>13</v>
      </c>
      <c r="F2283" t="s">
        <v>14</v>
      </c>
      <c r="G2283">
        <v>74</v>
      </c>
      <c r="H2283" s="11">
        <v>48</v>
      </c>
    </row>
    <row r="2284" spans="2:8" x14ac:dyDescent="0.25">
      <c r="B2284" s="8">
        <v>44894</v>
      </c>
      <c r="C2284" t="s">
        <v>28</v>
      </c>
      <c r="D2284" t="s">
        <v>8</v>
      </c>
      <c r="E2284" t="s">
        <v>13</v>
      </c>
      <c r="F2284" t="s">
        <v>16</v>
      </c>
      <c r="G2284">
        <v>59</v>
      </c>
      <c r="H2284" s="11">
        <v>118</v>
      </c>
    </row>
    <row r="2285" spans="2:8" x14ac:dyDescent="0.25">
      <c r="B2285" s="8">
        <v>44894</v>
      </c>
      <c r="C2285" t="s">
        <v>25</v>
      </c>
      <c r="D2285" t="s">
        <v>12</v>
      </c>
      <c r="E2285" t="s">
        <v>13</v>
      </c>
      <c r="F2285" t="s">
        <v>14</v>
      </c>
      <c r="G2285">
        <v>95</v>
      </c>
      <c r="H2285" s="11">
        <v>93</v>
      </c>
    </row>
    <row r="2286" spans="2:8" x14ac:dyDescent="0.25">
      <c r="B2286" s="8">
        <v>44894</v>
      </c>
      <c r="C2286" t="s">
        <v>27</v>
      </c>
      <c r="D2286" t="s">
        <v>18</v>
      </c>
      <c r="E2286" t="s">
        <v>9</v>
      </c>
      <c r="F2286" t="s">
        <v>14</v>
      </c>
      <c r="G2286">
        <v>69</v>
      </c>
      <c r="H2286" s="11">
        <v>89</v>
      </c>
    </row>
    <row r="2287" spans="2:8" x14ac:dyDescent="0.25">
      <c r="B2287" s="8">
        <v>44894</v>
      </c>
      <c r="C2287" t="s">
        <v>7</v>
      </c>
      <c r="D2287" t="s">
        <v>8</v>
      </c>
      <c r="E2287" t="s">
        <v>13</v>
      </c>
      <c r="F2287" t="s">
        <v>10</v>
      </c>
      <c r="G2287">
        <v>53</v>
      </c>
      <c r="H2287" s="11">
        <v>74</v>
      </c>
    </row>
    <row r="2288" spans="2:8" x14ac:dyDescent="0.25">
      <c r="B2288" s="8">
        <v>44894</v>
      </c>
      <c r="C2288" t="s">
        <v>22</v>
      </c>
      <c r="D2288" t="s">
        <v>12</v>
      </c>
      <c r="E2288" t="s">
        <v>9</v>
      </c>
      <c r="F2288" t="s">
        <v>10</v>
      </c>
      <c r="G2288">
        <v>79</v>
      </c>
      <c r="H2288" s="11">
        <v>20</v>
      </c>
    </row>
    <row r="2289" spans="2:8" x14ac:dyDescent="0.25">
      <c r="B2289" s="8">
        <v>44894</v>
      </c>
      <c r="C2289" t="s">
        <v>21</v>
      </c>
      <c r="D2289" t="s">
        <v>8</v>
      </c>
      <c r="E2289" t="s">
        <v>9</v>
      </c>
      <c r="F2289" t="s">
        <v>10</v>
      </c>
      <c r="G2289">
        <v>21</v>
      </c>
      <c r="H2289" s="11">
        <v>57</v>
      </c>
    </row>
    <row r="2290" spans="2:8" x14ac:dyDescent="0.25">
      <c r="B2290" s="8">
        <v>44894</v>
      </c>
      <c r="C2290" t="s">
        <v>7</v>
      </c>
      <c r="D2290" t="s">
        <v>8</v>
      </c>
      <c r="E2290" t="s">
        <v>9</v>
      </c>
      <c r="F2290" t="s">
        <v>16</v>
      </c>
      <c r="G2290">
        <v>38</v>
      </c>
      <c r="H2290" s="11">
        <v>64</v>
      </c>
    </row>
    <row r="2291" spans="2:8" x14ac:dyDescent="0.25">
      <c r="B2291" s="8">
        <v>44894</v>
      </c>
      <c r="C2291" t="s">
        <v>20</v>
      </c>
      <c r="D2291" t="s">
        <v>8</v>
      </c>
      <c r="E2291" t="s">
        <v>13</v>
      </c>
      <c r="F2291" t="s">
        <v>10</v>
      </c>
      <c r="G2291">
        <v>70</v>
      </c>
      <c r="H2291" s="11">
        <v>50</v>
      </c>
    </row>
    <row r="2292" spans="2:8" x14ac:dyDescent="0.25">
      <c r="B2292" s="8">
        <v>44894</v>
      </c>
      <c r="C2292" t="s">
        <v>25</v>
      </c>
      <c r="D2292" t="s">
        <v>12</v>
      </c>
      <c r="E2292" t="s">
        <v>9</v>
      </c>
      <c r="F2292" t="s">
        <v>16</v>
      </c>
      <c r="G2292">
        <v>99</v>
      </c>
      <c r="H2292" s="11">
        <v>25</v>
      </c>
    </row>
    <row r="2293" spans="2:8" x14ac:dyDescent="0.25">
      <c r="B2293" s="8">
        <v>44894</v>
      </c>
      <c r="C2293" t="s">
        <v>21</v>
      </c>
      <c r="D2293" t="s">
        <v>8</v>
      </c>
      <c r="E2293" t="s">
        <v>9</v>
      </c>
      <c r="F2293" t="s">
        <v>10</v>
      </c>
      <c r="G2293">
        <v>27</v>
      </c>
      <c r="H2293" s="11">
        <v>103</v>
      </c>
    </row>
    <row r="2294" spans="2:8" x14ac:dyDescent="0.25">
      <c r="B2294" s="8">
        <v>44895</v>
      </c>
      <c r="C2294" t="s">
        <v>22</v>
      </c>
      <c r="D2294" t="s">
        <v>12</v>
      </c>
      <c r="E2294" t="s">
        <v>13</v>
      </c>
      <c r="F2294" t="s">
        <v>16</v>
      </c>
      <c r="G2294">
        <v>94</v>
      </c>
      <c r="H2294" s="11">
        <v>139</v>
      </c>
    </row>
    <row r="2295" spans="2:8" x14ac:dyDescent="0.25">
      <c r="B2295" s="8">
        <v>44895</v>
      </c>
      <c r="C2295" t="s">
        <v>23</v>
      </c>
      <c r="D2295" t="s">
        <v>18</v>
      </c>
      <c r="E2295" t="s">
        <v>9</v>
      </c>
      <c r="F2295" t="s">
        <v>14</v>
      </c>
      <c r="G2295">
        <v>100</v>
      </c>
      <c r="H2295" s="11">
        <v>98</v>
      </c>
    </row>
    <row r="2296" spans="2:8" x14ac:dyDescent="0.25">
      <c r="B2296" s="8">
        <v>44895</v>
      </c>
      <c r="C2296" t="s">
        <v>24</v>
      </c>
      <c r="D2296" t="s">
        <v>18</v>
      </c>
      <c r="E2296" t="s">
        <v>13</v>
      </c>
      <c r="F2296" t="s">
        <v>10</v>
      </c>
      <c r="G2296">
        <v>14</v>
      </c>
      <c r="H2296" s="11">
        <v>62</v>
      </c>
    </row>
    <row r="2297" spans="2:8" x14ac:dyDescent="0.25">
      <c r="B2297" s="8">
        <v>44895</v>
      </c>
      <c r="C2297" t="s">
        <v>11</v>
      </c>
      <c r="D2297" t="s">
        <v>12</v>
      </c>
      <c r="E2297" t="s">
        <v>9</v>
      </c>
      <c r="F2297" t="s">
        <v>10</v>
      </c>
      <c r="G2297">
        <v>87</v>
      </c>
      <c r="H2297" s="11">
        <v>32</v>
      </c>
    </row>
    <row r="2298" spans="2:8" x14ac:dyDescent="0.25">
      <c r="B2298" s="8">
        <v>44895</v>
      </c>
      <c r="C2298" t="s">
        <v>26</v>
      </c>
      <c r="D2298" t="s">
        <v>12</v>
      </c>
      <c r="E2298" t="s">
        <v>9</v>
      </c>
      <c r="F2298" t="s">
        <v>16</v>
      </c>
      <c r="G2298">
        <v>31</v>
      </c>
      <c r="H2298" s="11">
        <v>116</v>
      </c>
    </row>
    <row r="2299" spans="2:8" x14ac:dyDescent="0.25">
      <c r="B2299" s="8">
        <v>44896</v>
      </c>
      <c r="C2299" t="s">
        <v>29</v>
      </c>
      <c r="D2299" t="s">
        <v>18</v>
      </c>
      <c r="E2299" t="s">
        <v>9</v>
      </c>
      <c r="F2299" t="s">
        <v>10</v>
      </c>
      <c r="G2299">
        <v>20</v>
      </c>
      <c r="H2299" s="11">
        <v>55</v>
      </c>
    </row>
    <row r="2300" spans="2:8" x14ac:dyDescent="0.25">
      <c r="B2300" s="8">
        <v>44896</v>
      </c>
      <c r="C2300" t="s">
        <v>7</v>
      </c>
      <c r="D2300" t="s">
        <v>8</v>
      </c>
      <c r="E2300" t="s">
        <v>13</v>
      </c>
      <c r="F2300" t="s">
        <v>10</v>
      </c>
      <c r="G2300">
        <v>32</v>
      </c>
      <c r="H2300" s="11">
        <v>77</v>
      </c>
    </row>
    <row r="2301" spans="2:8" x14ac:dyDescent="0.25">
      <c r="B2301" s="8">
        <v>44896</v>
      </c>
      <c r="C2301" t="s">
        <v>24</v>
      </c>
      <c r="D2301" t="s">
        <v>18</v>
      </c>
      <c r="E2301" t="s">
        <v>13</v>
      </c>
      <c r="F2301" t="s">
        <v>10</v>
      </c>
      <c r="G2301">
        <v>34</v>
      </c>
      <c r="H2301" s="11">
        <v>130</v>
      </c>
    </row>
    <row r="2302" spans="2:8" x14ac:dyDescent="0.25">
      <c r="B2302" s="8">
        <v>44896</v>
      </c>
      <c r="C2302" t="s">
        <v>19</v>
      </c>
      <c r="D2302" t="s">
        <v>12</v>
      </c>
      <c r="E2302" t="s">
        <v>9</v>
      </c>
      <c r="F2302" t="s">
        <v>14</v>
      </c>
      <c r="G2302">
        <v>20</v>
      </c>
      <c r="H2302" s="11">
        <v>40</v>
      </c>
    </row>
    <row r="2303" spans="2:8" x14ac:dyDescent="0.25">
      <c r="B2303" s="8">
        <v>44896</v>
      </c>
      <c r="C2303" t="s">
        <v>20</v>
      </c>
      <c r="D2303" t="s">
        <v>8</v>
      </c>
      <c r="E2303" t="s">
        <v>9</v>
      </c>
      <c r="F2303" t="s">
        <v>14</v>
      </c>
      <c r="G2303">
        <v>19</v>
      </c>
      <c r="H2303" s="11">
        <v>26</v>
      </c>
    </row>
    <row r="2304" spans="2:8" x14ac:dyDescent="0.25">
      <c r="B2304" s="8">
        <v>44896</v>
      </c>
      <c r="C2304" t="s">
        <v>20</v>
      </c>
      <c r="D2304" t="s">
        <v>8</v>
      </c>
      <c r="E2304" t="s">
        <v>13</v>
      </c>
      <c r="F2304" t="s">
        <v>10</v>
      </c>
      <c r="G2304">
        <v>13</v>
      </c>
      <c r="H2304" s="11">
        <v>114</v>
      </c>
    </row>
    <row r="2305" spans="2:8" x14ac:dyDescent="0.25">
      <c r="B2305" s="8">
        <v>44896</v>
      </c>
      <c r="C2305" t="s">
        <v>21</v>
      </c>
      <c r="D2305" t="s">
        <v>8</v>
      </c>
      <c r="E2305" t="s">
        <v>13</v>
      </c>
      <c r="F2305" t="s">
        <v>14</v>
      </c>
      <c r="G2305">
        <v>81</v>
      </c>
      <c r="H2305" s="11">
        <v>143</v>
      </c>
    </row>
    <row r="2306" spans="2:8" x14ac:dyDescent="0.25">
      <c r="B2306" s="8">
        <v>44897</v>
      </c>
      <c r="C2306" t="s">
        <v>25</v>
      </c>
      <c r="D2306" t="s">
        <v>12</v>
      </c>
      <c r="E2306" t="s">
        <v>13</v>
      </c>
      <c r="F2306" t="s">
        <v>14</v>
      </c>
      <c r="G2306">
        <v>12</v>
      </c>
      <c r="H2306" s="11">
        <v>40</v>
      </c>
    </row>
    <row r="2307" spans="2:8" x14ac:dyDescent="0.25">
      <c r="B2307" s="8">
        <v>44897</v>
      </c>
      <c r="C2307" t="s">
        <v>17</v>
      </c>
      <c r="D2307" t="s">
        <v>18</v>
      </c>
      <c r="E2307" t="s">
        <v>13</v>
      </c>
      <c r="F2307" t="s">
        <v>10</v>
      </c>
      <c r="G2307">
        <v>49</v>
      </c>
      <c r="H2307" s="11">
        <v>58</v>
      </c>
    </row>
    <row r="2308" spans="2:8" x14ac:dyDescent="0.25">
      <c r="B2308" s="8">
        <v>44897</v>
      </c>
      <c r="C2308" t="s">
        <v>25</v>
      </c>
      <c r="D2308" t="s">
        <v>12</v>
      </c>
      <c r="E2308" t="s">
        <v>13</v>
      </c>
      <c r="F2308" t="s">
        <v>16</v>
      </c>
      <c r="G2308">
        <v>64</v>
      </c>
      <c r="H2308" s="11">
        <v>51</v>
      </c>
    </row>
    <row r="2309" spans="2:8" x14ac:dyDescent="0.25">
      <c r="B2309" s="8">
        <v>44897</v>
      </c>
      <c r="C2309" t="s">
        <v>23</v>
      </c>
      <c r="D2309" t="s">
        <v>18</v>
      </c>
      <c r="E2309" t="s">
        <v>13</v>
      </c>
      <c r="F2309" t="s">
        <v>16</v>
      </c>
      <c r="G2309">
        <v>43</v>
      </c>
      <c r="H2309" s="11">
        <v>49</v>
      </c>
    </row>
    <row r="2310" spans="2:8" x14ac:dyDescent="0.25">
      <c r="B2310" s="8">
        <v>44897</v>
      </c>
      <c r="C2310" t="s">
        <v>21</v>
      </c>
      <c r="D2310" t="s">
        <v>8</v>
      </c>
      <c r="E2310" t="s">
        <v>9</v>
      </c>
      <c r="F2310" t="s">
        <v>14</v>
      </c>
      <c r="G2310">
        <v>84</v>
      </c>
      <c r="H2310" s="11">
        <v>138</v>
      </c>
    </row>
    <row r="2311" spans="2:8" x14ac:dyDescent="0.25">
      <c r="B2311" s="8">
        <v>44897</v>
      </c>
      <c r="C2311" t="s">
        <v>24</v>
      </c>
      <c r="D2311" t="s">
        <v>18</v>
      </c>
      <c r="E2311" t="s">
        <v>9</v>
      </c>
      <c r="F2311" t="s">
        <v>10</v>
      </c>
      <c r="G2311">
        <v>19</v>
      </c>
      <c r="H2311" s="11">
        <v>60</v>
      </c>
    </row>
    <row r="2312" spans="2:8" x14ac:dyDescent="0.25">
      <c r="B2312" s="8">
        <v>44897</v>
      </c>
      <c r="C2312" t="s">
        <v>24</v>
      </c>
      <c r="D2312" t="s">
        <v>18</v>
      </c>
      <c r="E2312" t="s">
        <v>13</v>
      </c>
      <c r="F2312" t="s">
        <v>16</v>
      </c>
      <c r="G2312">
        <v>42</v>
      </c>
      <c r="H2312" s="11">
        <v>70</v>
      </c>
    </row>
    <row r="2313" spans="2:8" x14ac:dyDescent="0.25">
      <c r="B2313" s="8">
        <v>44897</v>
      </c>
      <c r="C2313" t="s">
        <v>17</v>
      </c>
      <c r="D2313" t="s">
        <v>18</v>
      </c>
      <c r="E2313" t="s">
        <v>13</v>
      </c>
      <c r="F2313" t="s">
        <v>14</v>
      </c>
      <c r="G2313">
        <v>49</v>
      </c>
      <c r="H2313" s="11">
        <v>64</v>
      </c>
    </row>
    <row r="2314" spans="2:8" x14ac:dyDescent="0.25">
      <c r="B2314" s="8">
        <v>44898</v>
      </c>
      <c r="C2314" t="s">
        <v>19</v>
      </c>
      <c r="D2314" t="s">
        <v>12</v>
      </c>
      <c r="E2314" t="s">
        <v>9</v>
      </c>
      <c r="F2314" t="s">
        <v>14</v>
      </c>
      <c r="G2314">
        <v>12</v>
      </c>
      <c r="H2314" s="11">
        <v>132</v>
      </c>
    </row>
    <row r="2315" spans="2:8" x14ac:dyDescent="0.25">
      <c r="B2315" s="8">
        <v>44898</v>
      </c>
      <c r="C2315" t="s">
        <v>25</v>
      </c>
      <c r="D2315" t="s">
        <v>12</v>
      </c>
      <c r="E2315" t="s">
        <v>13</v>
      </c>
      <c r="F2315" t="s">
        <v>10</v>
      </c>
      <c r="G2315">
        <v>53</v>
      </c>
      <c r="H2315" s="11">
        <v>150</v>
      </c>
    </row>
    <row r="2316" spans="2:8" x14ac:dyDescent="0.25">
      <c r="B2316" s="8">
        <v>44898</v>
      </c>
      <c r="C2316" t="s">
        <v>22</v>
      </c>
      <c r="D2316" t="s">
        <v>12</v>
      </c>
      <c r="E2316" t="s">
        <v>13</v>
      </c>
      <c r="F2316" t="s">
        <v>14</v>
      </c>
      <c r="G2316">
        <v>97</v>
      </c>
      <c r="H2316" s="11">
        <v>136</v>
      </c>
    </row>
    <row r="2317" spans="2:8" x14ac:dyDescent="0.25">
      <c r="B2317" s="8">
        <v>44898</v>
      </c>
      <c r="C2317" t="s">
        <v>24</v>
      </c>
      <c r="D2317" t="s">
        <v>18</v>
      </c>
      <c r="E2317" t="s">
        <v>13</v>
      </c>
      <c r="F2317" t="s">
        <v>16</v>
      </c>
      <c r="G2317">
        <v>50</v>
      </c>
      <c r="H2317" s="11">
        <v>27</v>
      </c>
    </row>
    <row r="2318" spans="2:8" x14ac:dyDescent="0.25">
      <c r="B2318" s="8">
        <v>44898</v>
      </c>
      <c r="C2318" t="s">
        <v>27</v>
      </c>
      <c r="D2318" t="s">
        <v>18</v>
      </c>
      <c r="E2318" t="s">
        <v>13</v>
      </c>
      <c r="F2318" t="s">
        <v>14</v>
      </c>
      <c r="G2318">
        <v>74</v>
      </c>
      <c r="H2318" s="11">
        <v>133</v>
      </c>
    </row>
    <row r="2319" spans="2:8" x14ac:dyDescent="0.25">
      <c r="B2319" s="8">
        <v>44898</v>
      </c>
      <c r="C2319" t="s">
        <v>11</v>
      </c>
      <c r="D2319" t="s">
        <v>12</v>
      </c>
      <c r="E2319" t="s">
        <v>13</v>
      </c>
      <c r="F2319" t="s">
        <v>14</v>
      </c>
      <c r="G2319">
        <v>19</v>
      </c>
      <c r="H2319" s="11">
        <v>82</v>
      </c>
    </row>
    <row r="2320" spans="2:8" x14ac:dyDescent="0.25">
      <c r="B2320" s="8">
        <v>44898</v>
      </c>
      <c r="C2320" t="s">
        <v>20</v>
      </c>
      <c r="D2320" t="s">
        <v>8</v>
      </c>
      <c r="E2320" t="s">
        <v>13</v>
      </c>
      <c r="F2320" t="s">
        <v>14</v>
      </c>
      <c r="G2320">
        <v>13</v>
      </c>
      <c r="H2320" s="11">
        <v>122</v>
      </c>
    </row>
    <row r="2321" spans="2:8" x14ac:dyDescent="0.25">
      <c r="B2321" s="8">
        <v>44898</v>
      </c>
      <c r="C2321" t="s">
        <v>23</v>
      </c>
      <c r="D2321" t="s">
        <v>18</v>
      </c>
      <c r="E2321" t="s">
        <v>9</v>
      </c>
      <c r="F2321" t="s">
        <v>10</v>
      </c>
      <c r="G2321">
        <v>11</v>
      </c>
      <c r="H2321" s="11">
        <v>50</v>
      </c>
    </row>
    <row r="2322" spans="2:8" x14ac:dyDescent="0.25">
      <c r="B2322" s="8">
        <v>44898</v>
      </c>
      <c r="C2322" t="s">
        <v>23</v>
      </c>
      <c r="D2322" t="s">
        <v>18</v>
      </c>
      <c r="E2322" t="s">
        <v>13</v>
      </c>
      <c r="F2322" t="s">
        <v>16</v>
      </c>
      <c r="G2322">
        <v>34</v>
      </c>
      <c r="H2322" s="11">
        <v>117</v>
      </c>
    </row>
    <row r="2323" spans="2:8" x14ac:dyDescent="0.25">
      <c r="B2323" s="8">
        <v>44899</v>
      </c>
      <c r="C2323" t="s">
        <v>21</v>
      </c>
      <c r="D2323" t="s">
        <v>8</v>
      </c>
      <c r="E2323" t="s">
        <v>13</v>
      </c>
      <c r="F2323" t="s">
        <v>10</v>
      </c>
      <c r="G2323">
        <v>22</v>
      </c>
      <c r="H2323" s="11">
        <v>64</v>
      </c>
    </row>
    <row r="2324" spans="2:8" x14ac:dyDescent="0.25">
      <c r="B2324" s="8">
        <v>44899</v>
      </c>
      <c r="C2324" t="s">
        <v>24</v>
      </c>
      <c r="D2324" t="s">
        <v>18</v>
      </c>
      <c r="E2324" t="s">
        <v>9</v>
      </c>
      <c r="F2324" t="s">
        <v>16</v>
      </c>
      <c r="G2324">
        <v>84</v>
      </c>
      <c r="H2324" s="11">
        <v>118</v>
      </c>
    </row>
    <row r="2325" spans="2:8" x14ac:dyDescent="0.25">
      <c r="B2325" s="8">
        <v>44899</v>
      </c>
      <c r="C2325" t="s">
        <v>17</v>
      </c>
      <c r="D2325" t="s">
        <v>18</v>
      </c>
      <c r="E2325" t="s">
        <v>9</v>
      </c>
      <c r="F2325" t="s">
        <v>14</v>
      </c>
      <c r="G2325">
        <v>49</v>
      </c>
      <c r="H2325" s="11">
        <v>125</v>
      </c>
    </row>
    <row r="2326" spans="2:8" x14ac:dyDescent="0.25">
      <c r="B2326" s="8">
        <v>44899</v>
      </c>
      <c r="C2326" t="s">
        <v>15</v>
      </c>
      <c r="D2326" t="s">
        <v>8</v>
      </c>
      <c r="E2326" t="s">
        <v>13</v>
      </c>
      <c r="F2326" t="s">
        <v>14</v>
      </c>
      <c r="G2326">
        <v>74</v>
      </c>
      <c r="H2326" s="11">
        <v>75</v>
      </c>
    </row>
    <row r="2327" spans="2:8" x14ac:dyDescent="0.25">
      <c r="B2327" s="8">
        <v>44899</v>
      </c>
      <c r="C2327" t="s">
        <v>26</v>
      </c>
      <c r="D2327" t="s">
        <v>12</v>
      </c>
      <c r="E2327" t="s">
        <v>13</v>
      </c>
      <c r="F2327" t="s">
        <v>14</v>
      </c>
      <c r="G2327">
        <v>85</v>
      </c>
      <c r="H2327" s="11">
        <v>42</v>
      </c>
    </row>
    <row r="2328" spans="2:8" x14ac:dyDescent="0.25">
      <c r="B2328" s="8">
        <v>44899</v>
      </c>
      <c r="C2328" t="s">
        <v>20</v>
      </c>
      <c r="D2328" t="s">
        <v>8</v>
      </c>
      <c r="E2328" t="s">
        <v>13</v>
      </c>
      <c r="F2328" t="s">
        <v>14</v>
      </c>
      <c r="G2328">
        <v>37</v>
      </c>
      <c r="H2328" s="11">
        <v>135</v>
      </c>
    </row>
    <row r="2329" spans="2:8" x14ac:dyDescent="0.25">
      <c r="B2329" s="8">
        <v>44899</v>
      </c>
      <c r="C2329" t="s">
        <v>29</v>
      </c>
      <c r="D2329" t="s">
        <v>18</v>
      </c>
      <c r="E2329" t="s">
        <v>13</v>
      </c>
      <c r="F2329" t="s">
        <v>16</v>
      </c>
      <c r="G2329">
        <v>97</v>
      </c>
      <c r="H2329" s="11">
        <v>82</v>
      </c>
    </row>
    <row r="2330" spans="2:8" x14ac:dyDescent="0.25">
      <c r="B2330" s="8">
        <v>44899</v>
      </c>
      <c r="C2330" t="s">
        <v>23</v>
      </c>
      <c r="D2330" t="s">
        <v>18</v>
      </c>
      <c r="E2330" t="s">
        <v>9</v>
      </c>
      <c r="F2330" t="s">
        <v>16</v>
      </c>
      <c r="G2330">
        <v>46</v>
      </c>
      <c r="H2330" s="11">
        <v>84</v>
      </c>
    </row>
    <row r="2331" spans="2:8" x14ac:dyDescent="0.25">
      <c r="B2331" s="8">
        <v>44899</v>
      </c>
      <c r="C2331" t="s">
        <v>29</v>
      </c>
      <c r="D2331" t="s">
        <v>18</v>
      </c>
      <c r="E2331" t="s">
        <v>13</v>
      </c>
      <c r="F2331" t="s">
        <v>14</v>
      </c>
      <c r="G2331">
        <v>49</v>
      </c>
      <c r="H2331" s="11">
        <v>98</v>
      </c>
    </row>
    <row r="2332" spans="2:8" x14ac:dyDescent="0.25">
      <c r="B2332" s="8">
        <v>44900</v>
      </c>
      <c r="C2332" t="s">
        <v>28</v>
      </c>
      <c r="D2332" t="s">
        <v>8</v>
      </c>
      <c r="E2332" t="s">
        <v>9</v>
      </c>
      <c r="F2332" t="s">
        <v>16</v>
      </c>
      <c r="G2332">
        <v>28</v>
      </c>
      <c r="H2332" s="11">
        <v>48</v>
      </c>
    </row>
    <row r="2333" spans="2:8" x14ac:dyDescent="0.25">
      <c r="B2333" s="8">
        <v>44900</v>
      </c>
      <c r="C2333" t="s">
        <v>15</v>
      </c>
      <c r="D2333" t="s">
        <v>8</v>
      </c>
      <c r="E2333" t="s">
        <v>13</v>
      </c>
      <c r="F2333" t="s">
        <v>10</v>
      </c>
      <c r="G2333">
        <v>48</v>
      </c>
      <c r="H2333" s="11">
        <v>22</v>
      </c>
    </row>
    <row r="2334" spans="2:8" x14ac:dyDescent="0.25">
      <c r="B2334" s="8">
        <v>44900</v>
      </c>
      <c r="C2334" t="s">
        <v>15</v>
      </c>
      <c r="D2334" t="s">
        <v>8</v>
      </c>
      <c r="E2334" t="s">
        <v>13</v>
      </c>
      <c r="F2334" t="s">
        <v>10</v>
      </c>
      <c r="G2334">
        <v>44</v>
      </c>
      <c r="H2334" s="11">
        <v>141</v>
      </c>
    </row>
    <row r="2335" spans="2:8" x14ac:dyDescent="0.25">
      <c r="B2335" s="8">
        <v>44900</v>
      </c>
      <c r="C2335" t="s">
        <v>20</v>
      </c>
      <c r="D2335" t="s">
        <v>8</v>
      </c>
      <c r="E2335" t="s">
        <v>9</v>
      </c>
      <c r="F2335" t="s">
        <v>16</v>
      </c>
      <c r="G2335">
        <v>66</v>
      </c>
      <c r="H2335" s="11">
        <v>125</v>
      </c>
    </row>
    <row r="2336" spans="2:8" x14ac:dyDescent="0.25">
      <c r="B2336" s="8">
        <v>44900</v>
      </c>
      <c r="C2336" t="s">
        <v>7</v>
      </c>
      <c r="D2336" t="s">
        <v>8</v>
      </c>
      <c r="E2336" t="s">
        <v>13</v>
      </c>
      <c r="F2336" t="s">
        <v>14</v>
      </c>
      <c r="G2336">
        <v>99</v>
      </c>
      <c r="H2336" s="11">
        <v>119</v>
      </c>
    </row>
    <row r="2337" spans="2:8" x14ac:dyDescent="0.25">
      <c r="B2337" s="8">
        <v>44900</v>
      </c>
      <c r="C2337" t="s">
        <v>26</v>
      </c>
      <c r="D2337" t="s">
        <v>12</v>
      </c>
      <c r="E2337" t="s">
        <v>13</v>
      </c>
      <c r="F2337" t="s">
        <v>10</v>
      </c>
      <c r="G2337">
        <v>18</v>
      </c>
      <c r="H2337" s="11">
        <v>81</v>
      </c>
    </row>
    <row r="2338" spans="2:8" x14ac:dyDescent="0.25">
      <c r="B2338" s="8">
        <v>44900</v>
      </c>
      <c r="C2338" t="s">
        <v>23</v>
      </c>
      <c r="D2338" t="s">
        <v>18</v>
      </c>
      <c r="E2338" t="s">
        <v>13</v>
      </c>
      <c r="F2338" t="s">
        <v>16</v>
      </c>
      <c r="G2338">
        <v>70</v>
      </c>
      <c r="H2338" s="11">
        <v>129</v>
      </c>
    </row>
    <row r="2339" spans="2:8" x14ac:dyDescent="0.25">
      <c r="B2339" s="8">
        <v>44900</v>
      </c>
      <c r="C2339" t="s">
        <v>28</v>
      </c>
      <c r="D2339" t="s">
        <v>8</v>
      </c>
      <c r="E2339" t="s">
        <v>9</v>
      </c>
      <c r="F2339" t="s">
        <v>16</v>
      </c>
      <c r="G2339">
        <v>22</v>
      </c>
      <c r="H2339" s="11">
        <v>130</v>
      </c>
    </row>
    <row r="2340" spans="2:8" x14ac:dyDescent="0.25">
      <c r="B2340" s="8">
        <v>44900</v>
      </c>
      <c r="C2340" t="s">
        <v>21</v>
      </c>
      <c r="D2340" t="s">
        <v>8</v>
      </c>
      <c r="E2340" t="s">
        <v>13</v>
      </c>
      <c r="F2340" t="s">
        <v>16</v>
      </c>
      <c r="G2340">
        <v>19</v>
      </c>
      <c r="H2340" s="11">
        <v>95</v>
      </c>
    </row>
    <row r="2341" spans="2:8" x14ac:dyDescent="0.25">
      <c r="B2341" s="8">
        <v>44900</v>
      </c>
      <c r="C2341" t="s">
        <v>24</v>
      </c>
      <c r="D2341" t="s">
        <v>18</v>
      </c>
      <c r="E2341" t="s">
        <v>9</v>
      </c>
      <c r="F2341" t="s">
        <v>14</v>
      </c>
      <c r="G2341">
        <v>61</v>
      </c>
      <c r="H2341" s="11">
        <v>78</v>
      </c>
    </row>
    <row r="2342" spans="2:8" x14ac:dyDescent="0.25">
      <c r="B2342" s="8">
        <v>44900</v>
      </c>
      <c r="C2342" t="s">
        <v>26</v>
      </c>
      <c r="D2342" t="s">
        <v>12</v>
      </c>
      <c r="E2342" t="s">
        <v>13</v>
      </c>
      <c r="F2342" t="s">
        <v>14</v>
      </c>
      <c r="G2342">
        <v>66</v>
      </c>
      <c r="H2342" s="11">
        <v>21</v>
      </c>
    </row>
    <row r="2343" spans="2:8" x14ac:dyDescent="0.25">
      <c r="B2343" s="8">
        <v>44901</v>
      </c>
      <c r="C2343" t="s">
        <v>26</v>
      </c>
      <c r="D2343" t="s">
        <v>12</v>
      </c>
      <c r="E2343" t="s">
        <v>13</v>
      </c>
      <c r="F2343" t="s">
        <v>10</v>
      </c>
      <c r="G2343">
        <v>46</v>
      </c>
      <c r="H2343" s="11">
        <v>131</v>
      </c>
    </row>
    <row r="2344" spans="2:8" x14ac:dyDescent="0.25">
      <c r="B2344" s="8">
        <v>44901</v>
      </c>
      <c r="C2344" t="s">
        <v>19</v>
      </c>
      <c r="D2344" t="s">
        <v>12</v>
      </c>
      <c r="E2344" t="s">
        <v>13</v>
      </c>
      <c r="F2344" t="s">
        <v>10</v>
      </c>
      <c r="G2344">
        <v>47</v>
      </c>
      <c r="H2344" s="11">
        <v>73</v>
      </c>
    </row>
    <row r="2345" spans="2:8" x14ac:dyDescent="0.25">
      <c r="B2345" s="8">
        <v>44901</v>
      </c>
      <c r="C2345" t="s">
        <v>27</v>
      </c>
      <c r="D2345" t="s">
        <v>18</v>
      </c>
      <c r="E2345" t="s">
        <v>9</v>
      </c>
      <c r="F2345" t="s">
        <v>16</v>
      </c>
      <c r="G2345">
        <v>66</v>
      </c>
      <c r="H2345" s="11">
        <v>110</v>
      </c>
    </row>
    <row r="2346" spans="2:8" x14ac:dyDescent="0.25">
      <c r="B2346" s="8">
        <v>44901</v>
      </c>
      <c r="C2346" t="s">
        <v>29</v>
      </c>
      <c r="D2346" t="s">
        <v>18</v>
      </c>
      <c r="E2346" t="s">
        <v>13</v>
      </c>
      <c r="F2346" t="s">
        <v>10</v>
      </c>
      <c r="G2346">
        <v>95</v>
      </c>
      <c r="H2346" s="11">
        <v>32</v>
      </c>
    </row>
    <row r="2347" spans="2:8" x14ac:dyDescent="0.25">
      <c r="B2347" s="8">
        <v>44901</v>
      </c>
      <c r="C2347" t="s">
        <v>22</v>
      </c>
      <c r="D2347" t="s">
        <v>12</v>
      </c>
      <c r="E2347" t="s">
        <v>13</v>
      </c>
      <c r="F2347" t="s">
        <v>14</v>
      </c>
      <c r="G2347">
        <v>18</v>
      </c>
      <c r="H2347" s="11">
        <v>115</v>
      </c>
    </row>
    <row r="2348" spans="2:8" x14ac:dyDescent="0.25">
      <c r="B2348" s="8">
        <v>44902</v>
      </c>
      <c r="C2348" t="s">
        <v>22</v>
      </c>
      <c r="D2348" t="s">
        <v>12</v>
      </c>
      <c r="E2348" t="s">
        <v>9</v>
      </c>
      <c r="F2348" t="s">
        <v>10</v>
      </c>
      <c r="G2348">
        <v>69</v>
      </c>
      <c r="H2348" s="11">
        <v>145</v>
      </c>
    </row>
    <row r="2349" spans="2:8" x14ac:dyDescent="0.25">
      <c r="B2349" s="8">
        <v>44902</v>
      </c>
      <c r="C2349" t="s">
        <v>21</v>
      </c>
      <c r="D2349" t="s">
        <v>8</v>
      </c>
      <c r="E2349" t="s">
        <v>9</v>
      </c>
      <c r="F2349" t="s">
        <v>10</v>
      </c>
      <c r="G2349">
        <v>61</v>
      </c>
      <c r="H2349" s="11">
        <v>75</v>
      </c>
    </row>
    <row r="2350" spans="2:8" x14ac:dyDescent="0.25">
      <c r="B2350" s="8">
        <v>44902</v>
      </c>
      <c r="C2350" t="s">
        <v>20</v>
      </c>
      <c r="D2350" t="s">
        <v>8</v>
      </c>
      <c r="E2350" t="s">
        <v>13</v>
      </c>
      <c r="F2350" t="s">
        <v>16</v>
      </c>
      <c r="G2350">
        <v>12</v>
      </c>
      <c r="H2350" s="11">
        <v>110</v>
      </c>
    </row>
    <row r="2351" spans="2:8" x14ac:dyDescent="0.25">
      <c r="B2351" s="8">
        <v>44902</v>
      </c>
      <c r="C2351" t="s">
        <v>21</v>
      </c>
      <c r="D2351" t="s">
        <v>8</v>
      </c>
      <c r="E2351" t="s">
        <v>13</v>
      </c>
      <c r="F2351" t="s">
        <v>14</v>
      </c>
      <c r="G2351">
        <v>63</v>
      </c>
      <c r="H2351" s="11">
        <v>62</v>
      </c>
    </row>
    <row r="2352" spans="2:8" x14ac:dyDescent="0.25">
      <c r="B2352" s="8">
        <v>44903</v>
      </c>
      <c r="C2352" t="s">
        <v>19</v>
      </c>
      <c r="D2352" t="s">
        <v>12</v>
      </c>
      <c r="E2352" t="s">
        <v>9</v>
      </c>
      <c r="F2352" t="s">
        <v>14</v>
      </c>
      <c r="G2352">
        <v>97</v>
      </c>
      <c r="H2352" s="11">
        <v>33</v>
      </c>
    </row>
    <row r="2353" spans="2:8" x14ac:dyDescent="0.25">
      <c r="B2353" s="8">
        <v>44903</v>
      </c>
      <c r="C2353" t="s">
        <v>19</v>
      </c>
      <c r="D2353" t="s">
        <v>12</v>
      </c>
      <c r="E2353" t="s">
        <v>9</v>
      </c>
      <c r="F2353" t="s">
        <v>16</v>
      </c>
      <c r="G2353">
        <v>90</v>
      </c>
      <c r="H2353" s="11">
        <v>109</v>
      </c>
    </row>
    <row r="2354" spans="2:8" x14ac:dyDescent="0.25">
      <c r="B2354" s="8">
        <v>44903</v>
      </c>
      <c r="C2354" t="s">
        <v>25</v>
      </c>
      <c r="D2354" t="s">
        <v>12</v>
      </c>
      <c r="E2354" t="s">
        <v>9</v>
      </c>
      <c r="F2354" t="s">
        <v>14</v>
      </c>
      <c r="G2354">
        <v>36</v>
      </c>
      <c r="H2354" s="11">
        <v>122</v>
      </c>
    </row>
    <row r="2355" spans="2:8" x14ac:dyDescent="0.25">
      <c r="B2355" s="8">
        <v>44903</v>
      </c>
      <c r="C2355" t="s">
        <v>15</v>
      </c>
      <c r="D2355" t="s">
        <v>8</v>
      </c>
      <c r="E2355" t="s">
        <v>9</v>
      </c>
      <c r="F2355" t="s">
        <v>10</v>
      </c>
      <c r="G2355">
        <v>64</v>
      </c>
      <c r="H2355" s="11">
        <v>62</v>
      </c>
    </row>
    <row r="2356" spans="2:8" x14ac:dyDescent="0.25">
      <c r="B2356" s="8">
        <v>44904</v>
      </c>
      <c r="C2356" t="s">
        <v>29</v>
      </c>
      <c r="D2356" t="s">
        <v>18</v>
      </c>
      <c r="E2356" t="s">
        <v>9</v>
      </c>
      <c r="F2356" t="s">
        <v>16</v>
      </c>
      <c r="G2356">
        <v>22</v>
      </c>
      <c r="H2356" s="11">
        <v>108</v>
      </c>
    </row>
    <row r="2357" spans="2:8" x14ac:dyDescent="0.25">
      <c r="B2357" s="8">
        <v>44904</v>
      </c>
      <c r="C2357" t="s">
        <v>20</v>
      </c>
      <c r="D2357" t="s">
        <v>8</v>
      </c>
      <c r="E2357" t="s">
        <v>9</v>
      </c>
      <c r="F2357" t="s">
        <v>10</v>
      </c>
      <c r="G2357">
        <v>31</v>
      </c>
      <c r="H2357" s="11">
        <v>128</v>
      </c>
    </row>
    <row r="2358" spans="2:8" x14ac:dyDescent="0.25">
      <c r="B2358" s="8">
        <v>44904</v>
      </c>
      <c r="C2358" t="s">
        <v>17</v>
      </c>
      <c r="D2358" t="s">
        <v>18</v>
      </c>
      <c r="E2358" t="s">
        <v>9</v>
      </c>
      <c r="F2358" t="s">
        <v>14</v>
      </c>
      <c r="G2358">
        <v>74</v>
      </c>
      <c r="H2358" s="11">
        <v>87</v>
      </c>
    </row>
    <row r="2359" spans="2:8" x14ac:dyDescent="0.25">
      <c r="B2359" s="8">
        <v>44904</v>
      </c>
      <c r="C2359" t="s">
        <v>23</v>
      </c>
      <c r="D2359" t="s">
        <v>18</v>
      </c>
      <c r="E2359" t="s">
        <v>13</v>
      </c>
      <c r="F2359" t="s">
        <v>16</v>
      </c>
      <c r="G2359">
        <v>11</v>
      </c>
      <c r="H2359" s="11">
        <v>26</v>
      </c>
    </row>
    <row r="2360" spans="2:8" x14ac:dyDescent="0.25">
      <c r="B2360" s="8">
        <v>44904</v>
      </c>
      <c r="C2360" t="s">
        <v>17</v>
      </c>
      <c r="D2360" t="s">
        <v>18</v>
      </c>
      <c r="E2360" t="s">
        <v>9</v>
      </c>
      <c r="F2360" t="s">
        <v>16</v>
      </c>
      <c r="G2360">
        <v>72</v>
      </c>
      <c r="H2360" s="11">
        <v>66</v>
      </c>
    </row>
    <row r="2361" spans="2:8" x14ac:dyDescent="0.25">
      <c r="B2361" s="8">
        <v>44904</v>
      </c>
      <c r="C2361" t="s">
        <v>26</v>
      </c>
      <c r="D2361" t="s">
        <v>12</v>
      </c>
      <c r="E2361" t="s">
        <v>13</v>
      </c>
      <c r="F2361" t="s">
        <v>16</v>
      </c>
      <c r="G2361">
        <v>96</v>
      </c>
      <c r="H2361" s="11">
        <v>100</v>
      </c>
    </row>
    <row r="2362" spans="2:8" x14ac:dyDescent="0.25">
      <c r="B2362" s="8">
        <v>44904</v>
      </c>
      <c r="C2362" t="s">
        <v>17</v>
      </c>
      <c r="D2362" t="s">
        <v>18</v>
      </c>
      <c r="E2362" t="s">
        <v>9</v>
      </c>
      <c r="F2362" t="s">
        <v>10</v>
      </c>
      <c r="G2362">
        <v>26</v>
      </c>
      <c r="H2362" s="11">
        <v>34</v>
      </c>
    </row>
    <row r="2363" spans="2:8" x14ac:dyDescent="0.25">
      <c r="B2363" s="8">
        <v>44904</v>
      </c>
      <c r="C2363" t="s">
        <v>19</v>
      </c>
      <c r="D2363" t="s">
        <v>12</v>
      </c>
      <c r="E2363" t="s">
        <v>13</v>
      </c>
      <c r="F2363" t="s">
        <v>10</v>
      </c>
      <c r="G2363">
        <v>75</v>
      </c>
      <c r="H2363" s="11">
        <v>42</v>
      </c>
    </row>
    <row r="2364" spans="2:8" x14ac:dyDescent="0.25">
      <c r="B2364" s="8">
        <v>44904</v>
      </c>
      <c r="C2364" t="s">
        <v>22</v>
      </c>
      <c r="D2364" t="s">
        <v>12</v>
      </c>
      <c r="E2364" t="s">
        <v>13</v>
      </c>
      <c r="F2364" t="s">
        <v>10</v>
      </c>
      <c r="G2364">
        <v>32</v>
      </c>
      <c r="H2364" s="11">
        <v>130</v>
      </c>
    </row>
    <row r="2365" spans="2:8" x14ac:dyDescent="0.25">
      <c r="B2365" s="8">
        <v>44905</v>
      </c>
      <c r="C2365" t="s">
        <v>29</v>
      </c>
      <c r="D2365" t="s">
        <v>18</v>
      </c>
      <c r="E2365" t="s">
        <v>13</v>
      </c>
      <c r="F2365" t="s">
        <v>10</v>
      </c>
      <c r="G2365">
        <v>62</v>
      </c>
      <c r="H2365" s="11">
        <v>52</v>
      </c>
    </row>
    <row r="2366" spans="2:8" x14ac:dyDescent="0.25">
      <c r="B2366" s="8">
        <v>44905</v>
      </c>
      <c r="C2366" t="s">
        <v>20</v>
      </c>
      <c r="D2366" t="s">
        <v>8</v>
      </c>
      <c r="E2366" t="s">
        <v>13</v>
      </c>
      <c r="F2366" t="s">
        <v>16</v>
      </c>
      <c r="G2366">
        <v>92</v>
      </c>
      <c r="H2366" s="11">
        <v>105</v>
      </c>
    </row>
    <row r="2367" spans="2:8" x14ac:dyDescent="0.25">
      <c r="B2367" s="8">
        <v>44905</v>
      </c>
      <c r="C2367" t="s">
        <v>17</v>
      </c>
      <c r="D2367" t="s">
        <v>18</v>
      </c>
      <c r="E2367" t="s">
        <v>13</v>
      </c>
      <c r="F2367" t="s">
        <v>16</v>
      </c>
      <c r="G2367">
        <v>10</v>
      </c>
      <c r="H2367" s="11">
        <v>27</v>
      </c>
    </row>
    <row r="2368" spans="2:8" x14ac:dyDescent="0.25">
      <c r="B2368" s="8">
        <v>44905</v>
      </c>
      <c r="C2368" t="s">
        <v>27</v>
      </c>
      <c r="D2368" t="s">
        <v>18</v>
      </c>
      <c r="E2368" t="s">
        <v>13</v>
      </c>
      <c r="F2368" t="s">
        <v>10</v>
      </c>
      <c r="G2368">
        <v>47</v>
      </c>
      <c r="H2368" s="11">
        <v>122</v>
      </c>
    </row>
    <row r="2369" spans="2:8" x14ac:dyDescent="0.25">
      <c r="B2369" s="8">
        <v>44906</v>
      </c>
      <c r="C2369" t="s">
        <v>29</v>
      </c>
      <c r="D2369" t="s">
        <v>18</v>
      </c>
      <c r="E2369" t="s">
        <v>13</v>
      </c>
      <c r="F2369" t="s">
        <v>14</v>
      </c>
      <c r="G2369">
        <v>62</v>
      </c>
      <c r="H2369" s="11">
        <v>121</v>
      </c>
    </row>
    <row r="2370" spans="2:8" x14ac:dyDescent="0.25">
      <c r="B2370" s="8">
        <v>44906</v>
      </c>
      <c r="C2370" t="s">
        <v>22</v>
      </c>
      <c r="D2370" t="s">
        <v>12</v>
      </c>
      <c r="E2370" t="s">
        <v>13</v>
      </c>
      <c r="F2370" t="s">
        <v>10</v>
      </c>
      <c r="G2370">
        <v>11</v>
      </c>
      <c r="H2370" s="11">
        <v>93</v>
      </c>
    </row>
    <row r="2371" spans="2:8" x14ac:dyDescent="0.25">
      <c r="B2371" s="8">
        <v>44906</v>
      </c>
      <c r="C2371" t="s">
        <v>25</v>
      </c>
      <c r="D2371" t="s">
        <v>12</v>
      </c>
      <c r="E2371" t="s">
        <v>9</v>
      </c>
      <c r="F2371" t="s">
        <v>14</v>
      </c>
      <c r="G2371">
        <v>81</v>
      </c>
      <c r="H2371" s="11">
        <v>144</v>
      </c>
    </row>
    <row r="2372" spans="2:8" x14ac:dyDescent="0.25">
      <c r="B2372" s="8">
        <v>44907</v>
      </c>
      <c r="C2372" t="s">
        <v>26</v>
      </c>
      <c r="D2372" t="s">
        <v>12</v>
      </c>
      <c r="E2372" t="s">
        <v>13</v>
      </c>
      <c r="F2372" t="s">
        <v>16</v>
      </c>
      <c r="G2372">
        <v>98</v>
      </c>
      <c r="H2372" s="11">
        <v>86</v>
      </c>
    </row>
    <row r="2373" spans="2:8" x14ac:dyDescent="0.25">
      <c r="B2373" s="8">
        <v>44907</v>
      </c>
      <c r="C2373" t="s">
        <v>21</v>
      </c>
      <c r="D2373" t="s">
        <v>8</v>
      </c>
      <c r="E2373" t="s">
        <v>13</v>
      </c>
      <c r="F2373" t="s">
        <v>14</v>
      </c>
      <c r="G2373">
        <v>50</v>
      </c>
      <c r="H2373" s="11">
        <v>145</v>
      </c>
    </row>
    <row r="2374" spans="2:8" x14ac:dyDescent="0.25">
      <c r="B2374" s="8">
        <v>44907</v>
      </c>
      <c r="C2374" t="s">
        <v>29</v>
      </c>
      <c r="D2374" t="s">
        <v>18</v>
      </c>
      <c r="E2374" t="s">
        <v>9</v>
      </c>
      <c r="F2374" t="s">
        <v>10</v>
      </c>
      <c r="G2374">
        <v>12</v>
      </c>
      <c r="H2374" s="11">
        <v>61</v>
      </c>
    </row>
    <row r="2375" spans="2:8" x14ac:dyDescent="0.25">
      <c r="B2375" s="8">
        <v>44907</v>
      </c>
      <c r="C2375" t="s">
        <v>28</v>
      </c>
      <c r="D2375" t="s">
        <v>8</v>
      </c>
      <c r="E2375" t="s">
        <v>9</v>
      </c>
      <c r="F2375" t="s">
        <v>14</v>
      </c>
      <c r="G2375">
        <v>85</v>
      </c>
      <c r="H2375" s="11">
        <v>82</v>
      </c>
    </row>
    <row r="2376" spans="2:8" x14ac:dyDescent="0.25">
      <c r="B2376" s="8">
        <v>44907</v>
      </c>
      <c r="C2376" t="s">
        <v>25</v>
      </c>
      <c r="D2376" t="s">
        <v>12</v>
      </c>
      <c r="E2376" t="s">
        <v>13</v>
      </c>
      <c r="F2376" t="s">
        <v>10</v>
      </c>
      <c r="G2376">
        <v>31</v>
      </c>
      <c r="H2376" s="11">
        <v>85</v>
      </c>
    </row>
    <row r="2377" spans="2:8" x14ac:dyDescent="0.25">
      <c r="B2377" s="8">
        <v>44908</v>
      </c>
      <c r="C2377" t="s">
        <v>21</v>
      </c>
      <c r="D2377" t="s">
        <v>8</v>
      </c>
      <c r="E2377" t="s">
        <v>13</v>
      </c>
      <c r="F2377" t="s">
        <v>16</v>
      </c>
      <c r="G2377">
        <v>47</v>
      </c>
      <c r="H2377" s="11">
        <v>60</v>
      </c>
    </row>
    <row r="2378" spans="2:8" x14ac:dyDescent="0.25">
      <c r="B2378" s="8">
        <v>44908</v>
      </c>
      <c r="C2378" t="s">
        <v>24</v>
      </c>
      <c r="D2378" t="s">
        <v>18</v>
      </c>
      <c r="E2378" t="s">
        <v>13</v>
      </c>
      <c r="F2378" t="s">
        <v>14</v>
      </c>
      <c r="G2378">
        <v>61</v>
      </c>
      <c r="H2378" s="11">
        <v>35</v>
      </c>
    </row>
    <row r="2379" spans="2:8" x14ac:dyDescent="0.25">
      <c r="B2379" s="8">
        <v>44908</v>
      </c>
      <c r="C2379" t="s">
        <v>11</v>
      </c>
      <c r="D2379" t="s">
        <v>12</v>
      </c>
      <c r="E2379" t="s">
        <v>13</v>
      </c>
      <c r="F2379" t="s">
        <v>14</v>
      </c>
      <c r="G2379">
        <v>49</v>
      </c>
      <c r="H2379" s="11">
        <v>59</v>
      </c>
    </row>
    <row r="2380" spans="2:8" x14ac:dyDescent="0.25">
      <c r="B2380" s="8">
        <v>44908</v>
      </c>
      <c r="C2380" t="s">
        <v>24</v>
      </c>
      <c r="D2380" t="s">
        <v>18</v>
      </c>
      <c r="E2380" t="s">
        <v>9</v>
      </c>
      <c r="F2380" t="s">
        <v>16</v>
      </c>
      <c r="G2380">
        <v>36</v>
      </c>
      <c r="H2380" s="11">
        <v>118</v>
      </c>
    </row>
    <row r="2381" spans="2:8" x14ac:dyDescent="0.25">
      <c r="B2381" s="8">
        <v>44908</v>
      </c>
      <c r="C2381" t="s">
        <v>20</v>
      </c>
      <c r="D2381" t="s">
        <v>8</v>
      </c>
      <c r="E2381" t="s">
        <v>13</v>
      </c>
      <c r="F2381" t="s">
        <v>16</v>
      </c>
      <c r="G2381">
        <v>75</v>
      </c>
      <c r="H2381" s="11">
        <v>85</v>
      </c>
    </row>
    <row r="2382" spans="2:8" x14ac:dyDescent="0.25">
      <c r="B2382" s="8">
        <v>44908</v>
      </c>
      <c r="C2382" t="s">
        <v>24</v>
      </c>
      <c r="D2382" t="s">
        <v>18</v>
      </c>
      <c r="E2382" t="s">
        <v>13</v>
      </c>
      <c r="F2382" t="s">
        <v>16</v>
      </c>
      <c r="G2382">
        <v>50</v>
      </c>
      <c r="H2382" s="11">
        <v>47</v>
      </c>
    </row>
    <row r="2383" spans="2:8" x14ac:dyDescent="0.25">
      <c r="B2383" s="8">
        <v>44908</v>
      </c>
      <c r="C2383" t="s">
        <v>27</v>
      </c>
      <c r="D2383" t="s">
        <v>18</v>
      </c>
      <c r="E2383" t="s">
        <v>13</v>
      </c>
      <c r="F2383" t="s">
        <v>16</v>
      </c>
      <c r="G2383">
        <v>86</v>
      </c>
      <c r="H2383" s="11">
        <v>32</v>
      </c>
    </row>
    <row r="2384" spans="2:8" x14ac:dyDescent="0.25">
      <c r="B2384" s="8">
        <v>44908</v>
      </c>
      <c r="C2384" t="s">
        <v>25</v>
      </c>
      <c r="D2384" t="s">
        <v>12</v>
      </c>
      <c r="E2384" t="s">
        <v>9</v>
      </c>
      <c r="F2384" t="s">
        <v>16</v>
      </c>
      <c r="G2384">
        <v>61</v>
      </c>
      <c r="H2384" s="11">
        <v>33</v>
      </c>
    </row>
    <row r="2385" spans="2:8" x14ac:dyDescent="0.25">
      <c r="B2385" s="8">
        <v>44909</v>
      </c>
      <c r="C2385" t="s">
        <v>7</v>
      </c>
      <c r="D2385" t="s">
        <v>8</v>
      </c>
      <c r="E2385" t="s">
        <v>13</v>
      </c>
      <c r="F2385" t="s">
        <v>14</v>
      </c>
      <c r="G2385">
        <v>50</v>
      </c>
      <c r="H2385" s="11">
        <v>106</v>
      </c>
    </row>
    <row r="2386" spans="2:8" x14ac:dyDescent="0.25">
      <c r="B2386" s="8">
        <v>44909</v>
      </c>
      <c r="C2386" t="s">
        <v>15</v>
      </c>
      <c r="D2386" t="s">
        <v>8</v>
      </c>
      <c r="E2386" t="s">
        <v>13</v>
      </c>
      <c r="F2386" t="s">
        <v>14</v>
      </c>
      <c r="G2386">
        <v>23</v>
      </c>
      <c r="H2386" s="11">
        <v>38</v>
      </c>
    </row>
    <row r="2387" spans="2:8" x14ac:dyDescent="0.25">
      <c r="B2387" s="8">
        <v>44909</v>
      </c>
      <c r="C2387" t="s">
        <v>29</v>
      </c>
      <c r="D2387" t="s">
        <v>18</v>
      </c>
      <c r="E2387" t="s">
        <v>13</v>
      </c>
      <c r="F2387" t="s">
        <v>14</v>
      </c>
      <c r="G2387">
        <v>74</v>
      </c>
      <c r="H2387" s="11">
        <v>67</v>
      </c>
    </row>
    <row r="2388" spans="2:8" x14ac:dyDescent="0.25">
      <c r="B2388" s="8">
        <v>44909</v>
      </c>
      <c r="C2388" t="s">
        <v>23</v>
      </c>
      <c r="D2388" t="s">
        <v>18</v>
      </c>
      <c r="E2388" t="s">
        <v>13</v>
      </c>
      <c r="F2388" t="s">
        <v>16</v>
      </c>
      <c r="G2388">
        <v>79</v>
      </c>
      <c r="H2388" s="11">
        <v>30</v>
      </c>
    </row>
    <row r="2389" spans="2:8" x14ac:dyDescent="0.25">
      <c r="B2389" s="8">
        <v>44909</v>
      </c>
      <c r="C2389" t="s">
        <v>29</v>
      </c>
      <c r="D2389" t="s">
        <v>18</v>
      </c>
      <c r="E2389" t="s">
        <v>13</v>
      </c>
      <c r="F2389" t="s">
        <v>14</v>
      </c>
      <c r="G2389">
        <v>29</v>
      </c>
      <c r="H2389" s="11">
        <v>147</v>
      </c>
    </row>
    <row r="2390" spans="2:8" x14ac:dyDescent="0.25">
      <c r="B2390" s="8">
        <v>44909</v>
      </c>
      <c r="C2390" t="s">
        <v>17</v>
      </c>
      <c r="D2390" t="s">
        <v>18</v>
      </c>
      <c r="E2390" t="s">
        <v>9</v>
      </c>
      <c r="F2390" t="s">
        <v>10</v>
      </c>
      <c r="G2390">
        <v>18</v>
      </c>
      <c r="H2390" s="11">
        <v>49</v>
      </c>
    </row>
    <row r="2391" spans="2:8" x14ac:dyDescent="0.25">
      <c r="B2391" s="8">
        <v>44909</v>
      </c>
      <c r="C2391" t="s">
        <v>19</v>
      </c>
      <c r="D2391" t="s">
        <v>12</v>
      </c>
      <c r="E2391" t="s">
        <v>13</v>
      </c>
      <c r="F2391" t="s">
        <v>10</v>
      </c>
      <c r="G2391">
        <v>86</v>
      </c>
      <c r="H2391" s="11">
        <v>46</v>
      </c>
    </row>
    <row r="2392" spans="2:8" x14ac:dyDescent="0.25">
      <c r="B2392" s="8">
        <v>44909</v>
      </c>
      <c r="C2392" t="s">
        <v>17</v>
      </c>
      <c r="D2392" t="s">
        <v>18</v>
      </c>
      <c r="E2392" t="s">
        <v>13</v>
      </c>
      <c r="F2392" t="s">
        <v>10</v>
      </c>
      <c r="G2392">
        <v>17</v>
      </c>
      <c r="H2392" s="11">
        <v>142</v>
      </c>
    </row>
    <row r="2393" spans="2:8" x14ac:dyDescent="0.25">
      <c r="B2393" s="8">
        <v>44909</v>
      </c>
      <c r="C2393" t="s">
        <v>20</v>
      </c>
      <c r="D2393" t="s">
        <v>8</v>
      </c>
      <c r="E2393" t="s">
        <v>9</v>
      </c>
      <c r="F2393" t="s">
        <v>16</v>
      </c>
      <c r="G2393">
        <v>56</v>
      </c>
      <c r="H2393" s="11">
        <v>54</v>
      </c>
    </row>
    <row r="2394" spans="2:8" x14ac:dyDescent="0.25">
      <c r="B2394" s="8">
        <v>44909</v>
      </c>
      <c r="C2394" t="s">
        <v>17</v>
      </c>
      <c r="D2394" t="s">
        <v>18</v>
      </c>
      <c r="E2394" t="s">
        <v>13</v>
      </c>
      <c r="F2394" t="s">
        <v>10</v>
      </c>
      <c r="G2394">
        <v>29</v>
      </c>
      <c r="H2394" s="11">
        <v>114</v>
      </c>
    </row>
    <row r="2395" spans="2:8" x14ac:dyDescent="0.25">
      <c r="B2395" s="8">
        <v>44909</v>
      </c>
      <c r="C2395" t="s">
        <v>29</v>
      </c>
      <c r="D2395" t="s">
        <v>18</v>
      </c>
      <c r="E2395" t="s">
        <v>9</v>
      </c>
      <c r="F2395" t="s">
        <v>16</v>
      </c>
      <c r="G2395">
        <v>71</v>
      </c>
      <c r="H2395" s="11">
        <v>21</v>
      </c>
    </row>
    <row r="2396" spans="2:8" x14ac:dyDescent="0.25">
      <c r="B2396" s="8">
        <v>44910</v>
      </c>
      <c r="C2396" t="s">
        <v>19</v>
      </c>
      <c r="D2396" t="s">
        <v>12</v>
      </c>
      <c r="E2396" t="s">
        <v>13</v>
      </c>
      <c r="F2396" t="s">
        <v>10</v>
      </c>
      <c r="G2396">
        <v>25</v>
      </c>
      <c r="H2396" s="11">
        <v>105</v>
      </c>
    </row>
    <row r="2397" spans="2:8" x14ac:dyDescent="0.25">
      <c r="B2397" s="8">
        <v>44910</v>
      </c>
      <c r="C2397" t="s">
        <v>22</v>
      </c>
      <c r="D2397" t="s">
        <v>12</v>
      </c>
      <c r="E2397" t="s">
        <v>9</v>
      </c>
      <c r="F2397" t="s">
        <v>10</v>
      </c>
      <c r="G2397">
        <v>45</v>
      </c>
      <c r="H2397" s="11">
        <v>84</v>
      </c>
    </row>
    <row r="2398" spans="2:8" x14ac:dyDescent="0.25">
      <c r="B2398" s="8">
        <v>44910</v>
      </c>
      <c r="C2398" t="s">
        <v>25</v>
      </c>
      <c r="D2398" t="s">
        <v>12</v>
      </c>
      <c r="E2398" t="s">
        <v>13</v>
      </c>
      <c r="F2398" t="s">
        <v>14</v>
      </c>
      <c r="G2398">
        <v>36</v>
      </c>
      <c r="H2398" s="11">
        <v>99</v>
      </c>
    </row>
    <row r="2399" spans="2:8" x14ac:dyDescent="0.25">
      <c r="B2399" s="8">
        <v>44910</v>
      </c>
      <c r="C2399" t="s">
        <v>25</v>
      </c>
      <c r="D2399" t="s">
        <v>12</v>
      </c>
      <c r="E2399" t="s">
        <v>9</v>
      </c>
      <c r="F2399" t="s">
        <v>14</v>
      </c>
      <c r="G2399">
        <v>94</v>
      </c>
      <c r="H2399" s="11">
        <v>63</v>
      </c>
    </row>
    <row r="2400" spans="2:8" x14ac:dyDescent="0.25">
      <c r="B2400" s="8">
        <v>44910</v>
      </c>
      <c r="C2400" t="s">
        <v>29</v>
      </c>
      <c r="D2400" t="s">
        <v>18</v>
      </c>
      <c r="E2400" t="s">
        <v>9</v>
      </c>
      <c r="F2400" t="s">
        <v>14</v>
      </c>
      <c r="G2400">
        <v>15</v>
      </c>
      <c r="H2400" s="11">
        <v>109</v>
      </c>
    </row>
    <row r="2401" spans="2:8" x14ac:dyDescent="0.25">
      <c r="B2401" s="8">
        <v>44910</v>
      </c>
      <c r="C2401" t="s">
        <v>29</v>
      </c>
      <c r="D2401" t="s">
        <v>18</v>
      </c>
      <c r="E2401" t="s">
        <v>9</v>
      </c>
      <c r="F2401" t="s">
        <v>14</v>
      </c>
      <c r="G2401">
        <v>34</v>
      </c>
      <c r="H2401" s="11">
        <v>91</v>
      </c>
    </row>
    <row r="2402" spans="2:8" x14ac:dyDescent="0.25">
      <c r="B2402" s="8">
        <v>44910</v>
      </c>
      <c r="C2402" t="s">
        <v>26</v>
      </c>
      <c r="D2402" t="s">
        <v>12</v>
      </c>
      <c r="E2402" t="s">
        <v>9</v>
      </c>
      <c r="F2402" t="s">
        <v>14</v>
      </c>
      <c r="G2402">
        <v>50</v>
      </c>
      <c r="H2402" s="11">
        <v>86</v>
      </c>
    </row>
    <row r="2403" spans="2:8" x14ac:dyDescent="0.25">
      <c r="B2403" s="8">
        <v>44911</v>
      </c>
      <c r="C2403" t="s">
        <v>28</v>
      </c>
      <c r="D2403" t="s">
        <v>8</v>
      </c>
      <c r="E2403" t="s">
        <v>13</v>
      </c>
      <c r="F2403" t="s">
        <v>14</v>
      </c>
      <c r="G2403">
        <v>66</v>
      </c>
      <c r="H2403" s="11">
        <v>150</v>
      </c>
    </row>
    <row r="2404" spans="2:8" x14ac:dyDescent="0.25">
      <c r="B2404" s="8">
        <v>44911</v>
      </c>
      <c r="C2404" t="s">
        <v>11</v>
      </c>
      <c r="D2404" t="s">
        <v>12</v>
      </c>
      <c r="E2404" t="s">
        <v>13</v>
      </c>
      <c r="F2404" t="s">
        <v>16</v>
      </c>
      <c r="G2404">
        <v>33</v>
      </c>
      <c r="H2404" s="11">
        <v>41</v>
      </c>
    </row>
    <row r="2405" spans="2:8" x14ac:dyDescent="0.25">
      <c r="B2405" s="8">
        <v>44911</v>
      </c>
      <c r="C2405" t="s">
        <v>22</v>
      </c>
      <c r="D2405" t="s">
        <v>12</v>
      </c>
      <c r="E2405" t="s">
        <v>9</v>
      </c>
      <c r="F2405" t="s">
        <v>16</v>
      </c>
      <c r="G2405">
        <v>99</v>
      </c>
      <c r="H2405" s="11">
        <v>112</v>
      </c>
    </row>
    <row r="2406" spans="2:8" x14ac:dyDescent="0.25">
      <c r="B2406" s="8">
        <v>44911</v>
      </c>
      <c r="C2406" t="s">
        <v>11</v>
      </c>
      <c r="D2406" t="s">
        <v>12</v>
      </c>
      <c r="E2406" t="s">
        <v>9</v>
      </c>
      <c r="F2406" t="s">
        <v>10</v>
      </c>
      <c r="G2406">
        <v>74</v>
      </c>
      <c r="H2406" s="11">
        <v>135</v>
      </c>
    </row>
    <row r="2407" spans="2:8" x14ac:dyDescent="0.25">
      <c r="B2407" s="8">
        <v>44911</v>
      </c>
      <c r="C2407" t="s">
        <v>24</v>
      </c>
      <c r="D2407" t="s">
        <v>18</v>
      </c>
      <c r="E2407" t="s">
        <v>13</v>
      </c>
      <c r="F2407" t="s">
        <v>16</v>
      </c>
      <c r="G2407">
        <v>89</v>
      </c>
      <c r="H2407" s="11">
        <v>112</v>
      </c>
    </row>
    <row r="2408" spans="2:8" x14ac:dyDescent="0.25">
      <c r="B2408" s="8">
        <v>44911</v>
      </c>
      <c r="C2408" t="s">
        <v>28</v>
      </c>
      <c r="D2408" t="s">
        <v>8</v>
      </c>
      <c r="E2408" t="s">
        <v>13</v>
      </c>
      <c r="F2408" t="s">
        <v>10</v>
      </c>
      <c r="G2408">
        <v>46</v>
      </c>
      <c r="H2408" s="11">
        <v>20</v>
      </c>
    </row>
    <row r="2409" spans="2:8" x14ac:dyDescent="0.25">
      <c r="B2409" s="8">
        <v>44911</v>
      </c>
      <c r="C2409" t="s">
        <v>27</v>
      </c>
      <c r="D2409" t="s">
        <v>18</v>
      </c>
      <c r="E2409" t="s">
        <v>9</v>
      </c>
      <c r="F2409" t="s">
        <v>16</v>
      </c>
      <c r="G2409">
        <v>70</v>
      </c>
      <c r="H2409" s="11">
        <v>100</v>
      </c>
    </row>
    <row r="2410" spans="2:8" x14ac:dyDescent="0.25">
      <c r="B2410" s="8">
        <v>44911</v>
      </c>
      <c r="C2410" t="s">
        <v>19</v>
      </c>
      <c r="D2410" t="s">
        <v>12</v>
      </c>
      <c r="E2410" t="s">
        <v>13</v>
      </c>
      <c r="F2410" t="s">
        <v>16</v>
      </c>
      <c r="G2410">
        <v>23</v>
      </c>
      <c r="H2410" s="11">
        <v>113</v>
      </c>
    </row>
    <row r="2411" spans="2:8" x14ac:dyDescent="0.25">
      <c r="B2411" s="8">
        <v>44911</v>
      </c>
      <c r="C2411" t="s">
        <v>24</v>
      </c>
      <c r="D2411" t="s">
        <v>18</v>
      </c>
      <c r="E2411" t="s">
        <v>9</v>
      </c>
      <c r="F2411" t="s">
        <v>16</v>
      </c>
      <c r="G2411">
        <v>64</v>
      </c>
      <c r="H2411" s="11">
        <v>100</v>
      </c>
    </row>
    <row r="2412" spans="2:8" x14ac:dyDescent="0.25">
      <c r="B2412" s="8">
        <v>44911</v>
      </c>
      <c r="C2412" t="s">
        <v>26</v>
      </c>
      <c r="D2412" t="s">
        <v>12</v>
      </c>
      <c r="E2412" t="s">
        <v>13</v>
      </c>
      <c r="F2412" t="s">
        <v>10</v>
      </c>
      <c r="G2412">
        <v>20</v>
      </c>
      <c r="H2412" s="11">
        <v>83</v>
      </c>
    </row>
    <row r="2413" spans="2:8" x14ac:dyDescent="0.25">
      <c r="B2413" s="8">
        <v>44911</v>
      </c>
      <c r="C2413" t="s">
        <v>22</v>
      </c>
      <c r="D2413" t="s">
        <v>12</v>
      </c>
      <c r="E2413" t="s">
        <v>13</v>
      </c>
      <c r="F2413" t="s">
        <v>16</v>
      </c>
      <c r="G2413">
        <v>35</v>
      </c>
      <c r="H2413" s="11">
        <v>122</v>
      </c>
    </row>
    <row r="2414" spans="2:8" x14ac:dyDescent="0.25">
      <c r="B2414" s="8">
        <v>44912</v>
      </c>
      <c r="C2414" t="s">
        <v>7</v>
      </c>
      <c r="D2414" t="s">
        <v>8</v>
      </c>
      <c r="E2414" t="s">
        <v>13</v>
      </c>
      <c r="F2414" t="s">
        <v>14</v>
      </c>
      <c r="G2414">
        <v>32</v>
      </c>
      <c r="H2414" s="11">
        <v>59</v>
      </c>
    </row>
    <row r="2415" spans="2:8" x14ac:dyDescent="0.25">
      <c r="B2415" s="8">
        <v>44912</v>
      </c>
      <c r="C2415" t="s">
        <v>25</v>
      </c>
      <c r="D2415" t="s">
        <v>12</v>
      </c>
      <c r="E2415" t="s">
        <v>9</v>
      </c>
      <c r="F2415" t="s">
        <v>14</v>
      </c>
      <c r="G2415">
        <v>48</v>
      </c>
      <c r="H2415" s="11">
        <v>71</v>
      </c>
    </row>
    <row r="2416" spans="2:8" x14ac:dyDescent="0.25">
      <c r="B2416" s="8">
        <v>44912</v>
      </c>
      <c r="C2416" t="s">
        <v>11</v>
      </c>
      <c r="D2416" t="s">
        <v>12</v>
      </c>
      <c r="E2416" t="s">
        <v>13</v>
      </c>
      <c r="F2416" t="s">
        <v>14</v>
      </c>
      <c r="G2416">
        <v>85</v>
      </c>
      <c r="H2416" s="11">
        <v>76</v>
      </c>
    </row>
    <row r="2417" spans="2:8" x14ac:dyDescent="0.25">
      <c r="B2417" s="8">
        <v>44912</v>
      </c>
      <c r="C2417" t="s">
        <v>25</v>
      </c>
      <c r="D2417" t="s">
        <v>12</v>
      </c>
      <c r="E2417" t="s">
        <v>13</v>
      </c>
      <c r="F2417" t="s">
        <v>16</v>
      </c>
      <c r="G2417">
        <v>97</v>
      </c>
      <c r="H2417" s="11">
        <v>148</v>
      </c>
    </row>
    <row r="2418" spans="2:8" x14ac:dyDescent="0.25">
      <c r="B2418" s="8">
        <v>44912</v>
      </c>
      <c r="C2418" t="s">
        <v>26</v>
      </c>
      <c r="D2418" t="s">
        <v>12</v>
      </c>
      <c r="E2418" t="s">
        <v>13</v>
      </c>
      <c r="F2418" t="s">
        <v>14</v>
      </c>
      <c r="G2418">
        <v>97</v>
      </c>
      <c r="H2418" s="11">
        <v>35</v>
      </c>
    </row>
    <row r="2419" spans="2:8" x14ac:dyDescent="0.25">
      <c r="B2419" s="8">
        <v>44912</v>
      </c>
      <c r="C2419" t="s">
        <v>17</v>
      </c>
      <c r="D2419" t="s">
        <v>18</v>
      </c>
      <c r="E2419" t="s">
        <v>9</v>
      </c>
      <c r="F2419" t="s">
        <v>10</v>
      </c>
      <c r="G2419">
        <v>82</v>
      </c>
      <c r="H2419" s="11">
        <v>40</v>
      </c>
    </row>
    <row r="2420" spans="2:8" x14ac:dyDescent="0.25">
      <c r="B2420" s="8">
        <v>44912</v>
      </c>
      <c r="C2420" t="s">
        <v>23</v>
      </c>
      <c r="D2420" t="s">
        <v>18</v>
      </c>
      <c r="E2420" t="s">
        <v>13</v>
      </c>
      <c r="F2420" t="s">
        <v>10</v>
      </c>
      <c r="G2420">
        <v>41</v>
      </c>
      <c r="H2420" s="11">
        <v>47</v>
      </c>
    </row>
    <row r="2421" spans="2:8" x14ac:dyDescent="0.25">
      <c r="B2421" s="8">
        <v>44912</v>
      </c>
      <c r="C2421" t="s">
        <v>22</v>
      </c>
      <c r="D2421" t="s">
        <v>12</v>
      </c>
      <c r="E2421" t="s">
        <v>13</v>
      </c>
      <c r="F2421" t="s">
        <v>14</v>
      </c>
      <c r="G2421">
        <v>41</v>
      </c>
      <c r="H2421" s="11">
        <v>89</v>
      </c>
    </row>
    <row r="2422" spans="2:8" x14ac:dyDescent="0.25">
      <c r="B2422" s="8">
        <v>44913</v>
      </c>
      <c r="C2422" t="s">
        <v>26</v>
      </c>
      <c r="D2422" t="s">
        <v>12</v>
      </c>
      <c r="E2422" t="s">
        <v>13</v>
      </c>
      <c r="F2422" t="s">
        <v>16</v>
      </c>
      <c r="G2422">
        <v>83</v>
      </c>
      <c r="H2422" s="11">
        <v>69</v>
      </c>
    </row>
    <row r="2423" spans="2:8" x14ac:dyDescent="0.25">
      <c r="B2423" s="8">
        <v>44913</v>
      </c>
      <c r="C2423" t="s">
        <v>17</v>
      </c>
      <c r="D2423" t="s">
        <v>18</v>
      </c>
      <c r="E2423" t="s">
        <v>9</v>
      </c>
      <c r="F2423" t="s">
        <v>10</v>
      </c>
      <c r="G2423">
        <v>52</v>
      </c>
      <c r="H2423" s="11">
        <v>50</v>
      </c>
    </row>
    <row r="2424" spans="2:8" x14ac:dyDescent="0.25">
      <c r="B2424" s="8">
        <v>44913</v>
      </c>
      <c r="C2424" t="s">
        <v>29</v>
      </c>
      <c r="D2424" t="s">
        <v>18</v>
      </c>
      <c r="E2424" t="s">
        <v>13</v>
      </c>
      <c r="F2424" t="s">
        <v>10</v>
      </c>
      <c r="G2424">
        <v>94</v>
      </c>
      <c r="H2424" s="11">
        <v>95</v>
      </c>
    </row>
    <row r="2425" spans="2:8" x14ac:dyDescent="0.25">
      <c r="B2425" s="8">
        <v>44913</v>
      </c>
      <c r="C2425" t="s">
        <v>15</v>
      </c>
      <c r="D2425" t="s">
        <v>8</v>
      </c>
      <c r="E2425" t="s">
        <v>9</v>
      </c>
      <c r="F2425" t="s">
        <v>14</v>
      </c>
      <c r="G2425">
        <v>14</v>
      </c>
      <c r="H2425" s="11">
        <v>128</v>
      </c>
    </row>
    <row r="2426" spans="2:8" x14ac:dyDescent="0.25">
      <c r="B2426" s="8">
        <v>44913</v>
      </c>
      <c r="C2426" t="s">
        <v>26</v>
      </c>
      <c r="D2426" t="s">
        <v>12</v>
      </c>
      <c r="E2426" t="s">
        <v>13</v>
      </c>
      <c r="F2426" t="s">
        <v>10</v>
      </c>
      <c r="G2426">
        <v>38</v>
      </c>
      <c r="H2426" s="11">
        <v>98</v>
      </c>
    </row>
    <row r="2427" spans="2:8" x14ac:dyDescent="0.25">
      <c r="B2427" s="8">
        <v>44914</v>
      </c>
      <c r="C2427" t="s">
        <v>7</v>
      </c>
      <c r="D2427" t="s">
        <v>8</v>
      </c>
      <c r="E2427" t="s">
        <v>9</v>
      </c>
      <c r="F2427" t="s">
        <v>10</v>
      </c>
      <c r="G2427">
        <v>33</v>
      </c>
      <c r="H2427" s="11">
        <v>129</v>
      </c>
    </row>
    <row r="2428" spans="2:8" x14ac:dyDescent="0.25">
      <c r="B2428" s="8">
        <v>44914</v>
      </c>
      <c r="C2428" t="s">
        <v>21</v>
      </c>
      <c r="D2428" t="s">
        <v>8</v>
      </c>
      <c r="E2428" t="s">
        <v>9</v>
      </c>
      <c r="F2428" t="s">
        <v>16</v>
      </c>
      <c r="G2428">
        <v>79</v>
      </c>
      <c r="H2428" s="11">
        <v>91</v>
      </c>
    </row>
    <row r="2429" spans="2:8" x14ac:dyDescent="0.25">
      <c r="B2429" s="8">
        <v>44914</v>
      </c>
      <c r="C2429" t="s">
        <v>17</v>
      </c>
      <c r="D2429" t="s">
        <v>18</v>
      </c>
      <c r="E2429" t="s">
        <v>9</v>
      </c>
      <c r="F2429" t="s">
        <v>16</v>
      </c>
      <c r="G2429">
        <v>62</v>
      </c>
      <c r="H2429" s="11">
        <v>54</v>
      </c>
    </row>
    <row r="2430" spans="2:8" x14ac:dyDescent="0.25">
      <c r="B2430" s="8">
        <v>44914</v>
      </c>
      <c r="C2430" t="s">
        <v>11</v>
      </c>
      <c r="D2430" t="s">
        <v>12</v>
      </c>
      <c r="E2430" t="s">
        <v>13</v>
      </c>
      <c r="F2430" t="s">
        <v>14</v>
      </c>
      <c r="G2430">
        <v>73</v>
      </c>
      <c r="H2430" s="11">
        <v>35</v>
      </c>
    </row>
    <row r="2431" spans="2:8" x14ac:dyDescent="0.25">
      <c r="B2431" s="8">
        <v>44914</v>
      </c>
      <c r="C2431" t="s">
        <v>29</v>
      </c>
      <c r="D2431" t="s">
        <v>18</v>
      </c>
      <c r="E2431" t="s">
        <v>9</v>
      </c>
      <c r="F2431" t="s">
        <v>16</v>
      </c>
      <c r="G2431">
        <v>26</v>
      </c>
      <c r="H2431" s="11">
        <v>48</v>
      </c>
    </row>
    <row r="2432" spans="2:8" x14ac:dyDescent="0.25">
      <c r="B2432" s="8">
        <v>44914</v>
      </c>
      <c r="C2432" t="s">
        <v>17</v>
      </c>
      <c r="D2432" t="s">
        <v>18</v>
      </c>
      <c r="E2432" t="s">
        <v>9</v>
      </c>
      <c r="F2432" t="s">
        <v>10</v>
      </c>
      <c r="G2432">
        <v>88</v>
      </c>
      <c r="H2432" s="11">
        <v>27</v>
      </c>
    </row>
    <row r="2433" spans="2:8" x14ac:dyDescent="0.25">
      <c r="B2433" s="8">
        <v>44914</v>
      </c>
      <c r="C2433" t="s">
        <v>26</v>
      </c>
      <c r="D2433" t="s">
        <v>12</v>
      </c>
      <c r="E2433" t="s">
        <v>9</v>
      </c>
      <c r="F2433" t="s">
        <v>10</v>
      </c>
      <c r="G2433">
        <v>99</v>
      </c>
      <c r="H2433" s="11">
        <v>93</v>
      </c>
    </row>
    <row r="2434" spans="2:8" x14ac:dyDescent="0.25">
      <c r="B2434" s="8">
        <v>44914</v>
      </c>
      <c r="C2434" t="s">
        <v>19</v>
      </c>
      <c r="D2434" t="s">
        <v>12</v>
      </c>
      <c r="E2434" t="s">
        <v>9</v>
      </c>
      <c r="F2434" t="s">
        <v>14</v>
      </c>
      <c r="G2434">
        <v>40</v>
      </c>
      <c r="H2434" s="11">
        <v>62</v>
      </c>
    </row>
    <row r="2435" spans="2:8" x14ac:dyDescent="0.25">
      <c r="B2435" s="8">
        <v>44914</v>
      </c>
      <c r="C2435" t="s">
        <v>15</v>
      </c>
      <c r="D2435" t="s">
        <v>8</v>
      </c>
      <c r="E2435" t="s">
        <v>9</v>
      </c>
      <c r="F2435" t="s">
        <v>10</v>
      </c>
      <c r="G2435">
        <v>53</v>
      </c>
      <c r="H2435" s="11">
        <v>76</v>
      </c>
    </row>
    <row r="2436" spans="2:8" x14ac:dyDescent="0.25">
      <c r="B2436" s="8">
        <v>44914</v>
      </c>
      <c r="C2436" t="s">
        <v>15</v>
      </c>
      <c r="D2436" t="s">
        <v>8</v>
      </c>
      <c r="E2436" t="s">
        <v>13</v>
      </c>
      <c r="F2436" t="s">
        <v>10</v>
      </c>
      <c r="G2436">
        <v>24</v>
      </c>
      <c r="H2436" s="11">
        <v>56</v>
      </c>
    </row>
    <row r="2437" spans="2:8" x14ac:dyDescent="0.25">
      <c r="B2437" s="8">
        <v>44915</v>
      </c>
      <c r="C2437" t="s">
        <v>19</v>
      </c>
      <c r="D2437" t="s">
        <v>12</v>
      </c>
      <c r="E2437" t="s">
        <v>13</v>
      </c>
      <c r="F2437" t="s">
        <v>16</v>
      </c>
      <c r="G2437">
        <v>52</v>
      </c>
      <c r="H2437" s="11">
        <v>37</v>
      </c>
    </row>
    <row r="2438" spans="2:8" x14ac:dyDescent="0.25">
      <c r="B2438" s="8">
        <v>44915</v>
      </c>
      <c r="C2438" t="s">
        <v>17</v>
      </c>
      <c r="D2438" t="s">
        <v>18</v>
      </c>
      <c r="E2438" t="s">
        <v>9</v>
      </c>
      <c r="F2438" t="s">
        <v>16</v>
      </c>
      <c r="G2438">
        <v>68</v>
      </c>
      <c r="H2438" s="11">
        <v>71</v>
      </c>
    </row>
    <row r="2439" spans="2:8" x14ac:dyDescent="0.25">
      <c r="B2439" s="8">
        <v>44915</v>
      </c>
      <c r="C2439" t="s">
        <v>29</v>
      </c>
      <c r="D2439" t="s">
        <v>18</v>
      </c>
      <c r="E2439" t="s">
        <v>9</v>
      </c>
      <c r="F2439" t="s">
        <v>14</v>
      </c>
      <c r="G2439">
        <v>92</v>
      </c>
      <c r="H2439" s="11">
        <v>77</v>
      </c>
    </row>
    <row r="2440" spans="2:8" x14ac:dyDescent="0.25">
      <c r="B2440" s="8">
        <v>44915</v>
      </c>
      <c r="C2440" t="s">
        <v>7</v>
      </c>
      <c r="D2440" t="s">
        <v>8</v>
      </c>
      <c r="E2440" t="s">
        <v>13</v>
      </c>
      <c r="F2440" t="s">
        <v>16</v>
      </c>
      <c r="G2440">
        <v>57</v>
      </c>
      <c r="H2440" s="11">
        <v>116</v>
      </c>
    </row>
    <row r="2441" spans="2:8" x14ac:dyDescent="0.25">
      <c r="B2441" s="8">
        <v>44915</v>
      </c>
      <c r="C2441" t="s">
        <v>15</v>
      </c>
      <c r="D2441" t="s">
        <v>8</v>
      </c>
      <c r="E2441" t="s">
        <v>9</v>
      </c>
      <c r="F2441" t="s">
        <v>14</v>
      </c>
      <c r="G2441">
        <v>58</v>
      </c>
      <c r="H2441" s="11">
        <v>73</v>
      </c>
    </row>
    <row r="2442" spans="2:8" x14ac:dyDescent="0.25">
      <c r="B2442" s="8">
        <v>44915</v>
      </c>
      <c r="C2442" t="s">
        <v>29</v>
      </c>
      <c r="D2442" t="s">
        <v>18</v>
      </c>
      <c r="E2442" t="s">
        <v>13</v>
      </c>
      <c r="F2442" t="s">
        <v>10</v>
      </c>
      <c r="G2442">
        <v>46</v>
      </c>
      <c r="H2442" s="11">
        <v>137</v>
      </c>
    </row>
    <row r="2443" spans="2:8" x14ac:dyDescent="0.25">
      <c r="B2443" s="8">
        <v>44915</v>
      </c>
      <c r="C2443" t="s">
        <v>27</v>
      </c>
      <c r="D2443" t="s">
        <v>18</v>
      </c>
      <c r="E2443" t="s">
        <v>9</v>
      </c>
      <c r="F2443" t="s">
        <v>10</v>
      </c>
      <c r="G2443">
        <v>60</v>
      </c>
      <c r="H2443" s="11">
        <v>44</v>
      </c>
    </row>
    <row r="2444" spans="2:8" x14ac:dyDescent="0.25">
      <c r="B2444" s="8">
        <v>44915</v>
      </c>
      <c r="C2444" t="s">
        <v>28</v>
      </c>
      <c r="D2444" t="s">
        <v>8</v>
      </c>
      <c r="E2444" t="s">
        <v>9</v>
      </c>
      <c r="F2444" t="s">
        <v>10</v>
      </c>
      <c r="G2444">
        <v>56</v>
      </c>
      <c r="H2444" s="11">
        <v>84</v>
      </c>
    </row>
    <row r="2445" spans="2:8" x14ac:dyDescent="0.25">
      <c r="B2445" s="8">
        <v>44915</v>
      </c>
      <c r="C2445" t="s">
        <v>21</v>
      </c>
      <c r="D2445" t="s">
        <v>8</v>
      </c>
      <c r="E2445" t="s">
        <v>9</v>
      </c>
      <c r="F2445" t="s">
        <v>14</v>
      </c>
      <c r="G2445">
        <v>34</v>
      </c>
      <c r="H2445" s="11">
        <v>131</v>
      </c>
    </row>
    <row r="2446" spans="2:8" x14ac:dyDescent="0.25">
      <c r="B2446" s="8">
        <v>44915</v>
      </c>
      <c r="C2446" t="s">
        <v>7</v>
      </c>
      <c r="D2446" t="s">
        <v>8</v>
      </c>
      <c r="E2446" t="s">
        <v>13</v>
      </c>
      <c r="F2446" t="s">
        <v>14</v>
      </c>
      <c r="G2446">
        <v>97</v>
      </c>
      <c r="H2446" s="11">
        <v>148</v>
      </c>
    </row>
    <row r="2447" spans="2:8" x14ac:dyDescent="0.25">
      <c r="B2447" s="8">
        <v>44915</v>
      </c>
      <c r="C2447" t="s">
        <v>27</v>
      </c>
      <c r="D2447" t="s">
        <v>18</v>
      </c>
      <c r="E2447" t="s">
        <v>9</v>
      </c>
      <c r="F2447" t="s">
        <v>10</v>
      </c>
      <c r="G2447">
        <v>74</v>
      </c>
      <c r="H2447" s="11">
        <v>97</v>
      </c>
    </row>
    <row r="2448" spans="2:8" x14ac:dyDescent="0.25">
      <c r="B2448" s="8">
        <v>44916</v>
      </c>
      <c r="C2448" t="s">
        <v>29</v>
      </c>
      <c r="D2448" t="s">
        <v>18</v>
      </c>
      <c r="E2448" t="s">
        <v>13</v>
      </c>
      <c r="F2448" t="s">
        <v>16</v>
      </c>
      <c r="G2448">
        <v>62</v>
      </c>
      <c r="H2448" s="11">
        <v>121</v>
      </c>
    </row>
    <row r="2449" spans="2:8" x14ac:dyDescent="0.25">
      <c r="B2449" s="8">
        <v>44916</v>
      </c>
      <c r="C2449" t="s">
        <v>7</v>
      </c>
      <c r="D2449" t="s">
        <v>8</v>
      </c>
      <c r="E2449" t="s">
        <v>13</v>
      </c>
      <c r="F2449" t="s">
        <v>14</v>
      </c>
      <c r="G2449">
        <v>63</v>
      </c>
      <c r="H2449" s="11">
        <v>136</v>
      </c>
    </row>
    <row r="2450" spans="2:8" x14ac:dyDescent="0.25">
      <c r="B2450" s="8">
        <v>44916</v>
      </c>
      <c r="C2450" t="s">
        <v>22</v>
      </c>
      <c r="D2450" t="s">
        <v>12</v>
      </c>
      <c r="E2450" t="s">
        <v>13</v>
      </c>
      <c r="F2450" t="s">
        <v>16</v>
      </c>
      <c r="G2450">
        <v>50</v>
      </c>
      <c r="H2450" s="11">
        <v>99</v>
      </c>
    </row>
    <row r="2451" spans="2:8" x14ac:dyDescent="0.25">
      <c r="B2451" s="8">
        <v>44916</v>
      </c>
      <c r="C2451" t="s">
        <v>25</v>
      </c>
      <c r="D2451" t="s">
        <v>12</v>
      </c>
      <c r="E2451" t="s">
        <v>13</v>
      </c>
      <c r="F2451" t="s">
        <v>10</v>
      </c>
      <c r="G2451">
        <v>90</v>
      </c>
      <c r="H2451" s="11">
        <v>79</v>
      </c>
    </row>
    <row r="2452" spans="2:8" x14ac:dyDescent="0.25">
      <c r="B2452" s="8">
        <v>44916</v>
      </c>
      <c r="C2452" t="s">
        <v>26</v>
      </c>
      <c r="D2452" t="s">
        <v>12</v>
      </c>
      <c r="E2452" t="s">
        <v>9</v>
      </c>
      <c r="F2452" t="s">
        <v>10</v>
      </c>
      <c r="G2452">
        <v>75</v>
      </c>
      <c r="H2452" s="11">
        <v>116</v>
      </c>
    </row>
    <row r="2453" spans="2:8" x14ac:dyDescent="0.25">
      <c r="B2453" s="8">
        <v>44916</v>
      </c>
      <c r="C2453" t="s">
        <v>11</v>
      </c>
      <c r="D2453" t="s">
        <v>12</v>
      </c>
      <c r="E2453" t="s">
        <v>9</v>
      </c>
      <c r="F2453" t="s">
        <v>10</v>
      </c>
      <c r="G2453">
        <v>93</v>
      </c>
      <c r="H2453" s="11">
        <v>108</v>
      </c>
    </row>
    <row r="2454" spans="2:8" x14ac:dyDescent="0.25">
      <c r="B2454" s="8">
        <v>44916</v>
      </c>
      <c r="C2454" t="s">
        <v>29</v>
      </c>
      <c r="D2454" t="s">
        <v>18</v>
      </c>
      <c r="E2454" t="s">
        <v>9</v>
      </c>
      <c r="F2454" t="s">
        <v>14</v>
      </c>
      <c r="G2454">
        <v>66</v>
      </c>
      <c r="H2454" s="11">
        <v>81</v>
      </c>
    </row>
    <row r="2455" spans="2:8" x14ac:dyDescent="0.25">
      <c r="B2455" s="8">
        <v>44916</v>
      </c>
      <c r="C2455" t="s">
        <v>28</v>
      </c>
      <c r="D2455" t="s">
        <v>8</v>
      </c>
      <c r="E2455" t="s">
        <v>9</v>
      </c>
      <c r="F2455" t="s">
        <v>16</v>
      </c>
      <c r="G2455">
        <v>45</v>
      </c>
      <c r="H2455" s="11">
        <v>42</v>
      </c>
    </row>
    <row r="2456" spans="2:8" x14ac:dyDescent="0.25">
      <c r="B2456" s="8">
        <v>44916</v>
      </c>
      <c r="C2456" t="s">
        <v>19</v>
      </c>
      <c r="D2456" t="s">
        <v>12</v>
      </c>
      <c r="E2456" t="s">
        <v>13</v>
      </c>
      <c r="F2456" t="s">
        <v>16</v>
      </c>
      <c r="G2456">
        <v>76</v>
      </c>
      <c r="H2456" s="11">
        <v>101</v>
      </c>
    </row>
    <row r="2457" spans="2:8" x14ac:dyDescent="0.25">
      <c r="B2457" s="8">
        <v>44916</v>
      </c>
      <c r="C2457" t="s">
        <v>29</v>
      </c>
      <c r="D2457" t="s">
        <v>18</v>
      </c>
      <c r="E2457" t="s">
        <v>13</v>
      </c>
      <c r="F2457" t="s">
        <v>10</v>
      </c>
      <c r="G2457">
        <v>36</v>
      </c>
      <c r="H2457" s="11">
        <v>57</v>
      </c>
    </row>
    <row r="2458" spans="2:8" x14ac:dyDescent="0.25">
      <c r="B2458" s="8">
        <v>44916</v>
      </c>
      <c r="C2458" t="s">
        <v>28</v>
      </c>
      <c r="D2458" t="s">
        <v>8</v>
      </c>
      <c r="E2458" t="s">
        <v>13</v>
      </c>
      <c r="F2458" t="s">
        <v>10</v>
      </c>
      <c r="G2458">
        <v>28</v>
      </c>
      <c r="H2458" s="11">
        <v>105</v>
      </c>
    </row>
    <row r="2459" spans="2:8" x14ac:dyDescent="0.25">
      <c r="B2459" s="8">
        <v>44916</v>
      </c>
      <c r="C2459" t="s">
        <v>15</v>
      </c>
      <c r="D2459" t="s">
        <v>8</v>
      </c>
      <c r="E2459" t="s">
        <v>9</v>
      </c>
      <c r="F2459" t="s">
        <v>10</v>
      </c>
      <c r="G2459">
        <v>72</v>
      </c>
      <c r="H2459" s="11">
        <v>144</v>
      </c>
    </row>
    <row r="2460" spans="2:8" x14ac:dyDescent="0.25">
      <c r="B2460" s="8">
        <v>44917</v>
      </c>
      <c r="C2460" t="s">
        <v>23</v>
      </c>
      <c r="D2460" t="s">
        <v>18</v>
      </c>
      <c r="E2460" t="s">
        <v>9</v>
      </c>
      <c r="F2460" t="s">
        <v>10</v>
      </c>
      <c r="G2460">
        <v>32</v>
      </c>
      <c r="H2460" s="11">
        <v>139</v>
      </c>
    </row>
    <row r="2461" spans="2:8" x14ac:dyDescent="0.25">
      <c r="B2461" s="8">
        <v>44917</v>
      </c>
      <c r="C2461" t="s">
        <v>25</v>
      </c>
      <c r="D2461" t="s">
        <v>12</v>
      </c>
      <c r="E2461" t="s">
        <v>9</v>
      </c>
      <c r="F2461" t="s">
        <v>10</v>
      </c>
      <c r="G2461">
        <v>93</v>
      </c>
      <c r="H2461" s="11">
        <v>137</v>
      </c>
    </row>
    <row r="2462" spans="2:8" x14ac:dyDescent="0.25">
      <c r="B2462" s="8">
        <v>44917</v>
      </c>
      <c r="C2462" t="s">
        <v>24</v>
      </c>
      <c r="D2462" t="s">
        <v>18</v>
      </c>
      <c r="E2462" t="s">
        <v>9</v>
      </c>
      <c r="F2462" t="s">
        <v>10</v>
      </c>
      <c r="G2462">
        <v>16</v>
      </c>
      <c r="H2462" s="11">
        <v>44</v>
      </c>
    </row>
    <row r="2463" spans="2:8" x14ac:dyDescent="0.25">
      <c r="B2463" s="8">
        <v>44917</v>
      </c>
      <c r="C2463" t="s">
        <v>25</v>
      </c>
      <c r="D2463" t="s">
        <v>12</v>
      </c>
      <c r="E2463" t="s">
        <v>13</v>
      </c>
      <c r="F2463" t="s">
        <v>16</v>
      </c>
      <c r="G2463">
        <v>30</v>
      </c>
      <c r="H2463" s="11">
        <v>27</v>
      </c>
    </row>
    <row r="2464" spans="2:8" x14ac:dyDescent="0.25">
      <c r="B2464" s="8">
        <v>44917</v>
      </c>
      <c r="C2464" t="s">
        <v>23</v>
      </c>
      <c r="D2464" t="s">
        <v>18</v>
      </c>
      <c r="E2464" t="s">
        <v>13</v>
      </c>
      <c r="F2464" t="s">
        <v>10</v>
      </c>
      <c r="G2464">
        <v>24</v>
      </c>
      <c r="H2464" s="11">
        <v>76</v>
      </c>
    </row>
    <row r="2465" spans="2:8" x14ac:dyDescent="0.25">
      <c r="B2465" s="8">
        <v>44917</v>
      </c>
      <c r="C2465" t="s">
        <v>21</v>
      </c>
      <c r="D2465" t="s">
        <v>8</v>
      </c>
      <c r="E2465" t="s">
        <v>9</v>
      </c>
      <c r="F2465" t="s">
        <v>16</v>
      </c>
      <c r="G2465">
        <v>20</v>
      </c>
      <c r="H2465" s="11">
        <v>32</v>
      </c>
    </row>
    <row r="2466" spans="2:8" x14ac:dyDescent="0.25">
      <c r="B2466" s="8">
        <v>44918</v>
      </c>
      <c r="C2466" t="s">
        <v>21</v>
      </c>
      <c r="D2466" t="s">
        <v>8</v>
      </c>
      <c r="E2466" t="s">
        <v>9</v>
      </c>
      <c r="F2466" t="s">
        <v>10</v>
      </c>
      <c r="G2466">
        <v>71</v>
      </c>
      <c r="H2466" s="11">
        <v>96</v>
      </c>
    </row>
    <row r="2467" spans="2:8" x14ac:dyDescent="0.25">
      <c r="B2467" s="8">
        <v>44918</v>
      </c>
      <c r="C2467" t="s">
        <v>7</v>
      </c>
      <c r="D2467" t="s">
        <v>8</v>
      </c>
      <c r="E2467" t="s">
        <v>9</v>
      </c>
      <c r="F2467" t="s">
        <v>16</v>
      </c>
      <c r="G2467">
        <v>91</v>
      </c>
      <c r="H2467" s="11">
        <v>95</v>
      </c>
    </row>
    <row r="2468" spans="2:8" x14ac:dyDescent="0.25">
      <c r="B2468" s="8">
        <v>44918</v>
      </c>
      <c r="C2468" t="s">
        <v>20</v>
      </c>
      <c r="D2468" t="s">
        <v>8</v>
      </c>
      <c r="E2468" t="s">
        <v>9</v>
      </c>
      <c r="F2468" t="s">
        <v>14</v>
      </c>
      <c r="G2468">
        <v>89</v>
      </c>
      <c r="H2468" s="11">
        <v>115</v>
      </c>
    </row>
    <row r="2469" spans="2:8" x14ac:dyDescent="0.25">
      <c r="B2469" s="8">
        <v>44918</v>
      </c>
      <c r="C2469" t="s">
        <v>17</v>
      </c>
      <c r="D2469" t="s">
        <v>18</v>
      </c>
      <c r="E2469" t="s">
        <v>13</v>
      </c>
      <c r="F2469" t="s">
        <v>16</v>
      </c>
      <c r="G2469">
        <v>66</v>
      </c>
      <c r="H2469" s="11">
        <v>86</v>
      </c>
    </row>
    <row r="2470" spans="2:8" x14ac:dyDescent="0.25">
      <c r="B2470" s="8">
        <v>44918</v>
      </c>
      <c r="C2470" t="s">
        <v>19</v>
      </c>
      <c r="D2470" t="s">
        <v>12</v>
      </c>
      <c r="E2470" t="s">
        <v>13</v>
      </c>
      <c r="F2470" t="s">
        <v>10</v>
      </c>
      <c r="G2470">
        <v>22</v>
      </c>
      <c r="H2470" s="11">
        <v>103</v>
      </c>
    </row>
    <row r="2471" spans="2:8" x14ac:dyDescent="0.25">
      <c r="B2471" s="8">
        <v>44918</v>
      </c>
      <c r="C2471" t="s">
        <v>24</v>
      </c>
      <c r="D2471" t="s">
        <v>18</v>
      </c>
      <c r="E2471" t="s">
        <v>13</v>
      </c>
      <c r="F2471" t="s">
        <v>14</v>
      </c>
      <c r="G2471">
        <v>71</v>
      </c>
      <c r="H2471" s="11">
        <v>103</v>
      </c>
    </row>
    <row r="2472" spans="2:8" x14ac:dyDescent="0.25">
      <c r="B2472" s="8">
        <v>44918</v>
      </c>
      <c r="C2472" t="s">
        <v>27</v>
      </c>
      <c r="D2472" t="s">
        <v>18</v>
      </c>
      <c r="E2472" t="s">
        <v>9</v>
      </c>
      <c r="F2472" t="s">
        <v>16</v>
      </c>
      <c r="G2472">
        <v>58</v>
      </c>
      <c r="H2472" s="11">
        <v>78</v>
      </c>
    </row>
    <row r="2473" spans="2:8" x14ac:dyDescent="0.25">
      <c r="B2473" s="8">
        <v>44919</v>
      </c>
      <c r="C2473" t="s">
        <v>7</v>
      </c>
      <c r="D2473" t="s">
        <v>8</v>
      </c>
      <c r="E2473" t="s">
        <v>13</v>
      </c>
      <c r="F2473" t="s">
        <v>14</v>
      </c>
      <c r="G2473">
        <v>42</v>
      </c>
      <c r="H2473" s="11">
        <v>119</v>
      </c>
    </row>
    <row r="2474" spans="2:8" x14ac:dyDescent="0.25">
      <c r="B2474" s="8">
        <v>44919</v>
      </c>
      <c r="C2474" t="s">
        <v>17</v>
      </c>
      <c r="D2474" t="s">
        <v>18</v>
      </c>
      <c r="E2474" t="s">
        <v>9</v>
      </c>
      <c r="F2474" t="s">
        <v>10</v>
      </c>
      <c r="G2474">
        <v>90</v>
      </c>
      <c r="H2474" s="11">
        <v>140</v>
      </c>
    </row>
    <row r="2475" spans="2:8" x14ac:dyDescent="0.25">
      <c r="B2475" s="8">
        <v>44919</v>
      </c>
      <c r="C2475" t="s">
        <v>23</v>
      </c>
      <c r="D2475" t="s">
        <v>18</v>
      </c>
      <c r="E2475" t="s">
        <v>9</v>
      </c>
      <c r="F2475" t="s">
        <v>14</v>
      </c>
      <c r="G2475">
        <v>56</v>
      </c>
      <c r="H2475" s="11">
        <v>148</v>
      </c>
    </row>
    <row r="2476" spans="2:8" x14ac:dyDescent="0.25">
      <c r="B2476" s="8">
        <v>44919</v>
      </c>
      <c r="C2476" t="s">
        <v>24</v>
      </c>
      <c r="D2476" t="s">
        <v>18</v>
      </c>
      <c r="E2476" t="s">
        <v>9</v>
      </c>
      <c r="F2476" t="s">
        <v>16</v>
      </c>
      <c r="G2476">
        <v>49</v>
      </c>
      <c r="H2476" s="11">
        <v>78</v>
      </c>
    </row>
    <row r="2477" spans="2:8" x14ac:dyDescent="0.25">
      <c r="B2477" s="8">
        <v>44919</v>
      </c>
      <c r="C2477" t="s">
        <v>7</v>
      </c>
      <c r="D2477" t="s">
        <v>8</v>
      </c>
      <c r="E2477" t="s">
        <v>9</v>
      </c>
      <c r="F2477" t="s">
        <v>10</v>
      </c>
      <c r="G2477">
        <v>73</v>
      </c>
      <c r="H2477" s="11">
        <v>111</v>
      </c>
    </row>
    <row r="2478" spans="2:8" x14ac:dyDescent="0.25">
      <c r="B2478" s="8">
        <v>44919</v>
      </c>
      <c r="C2478" t="s">
        <v>28</v>
      </c>
      <c r="D2478" t="s">
        <v>8</v>
      </c>
      <c r="E2478" t="s">
        <v>9</v>
      </c>
      <c r="F2478" t="s">
        <v>14</v>
      </c>
      <c r="G2478">
        <v>22</v>
      </c>
      <c r="H2478" s="11">
        <v>111</v>
      </c>
    </row>
    <row r="2479" spans="2:8" x14ac:dyDescent="0.25">
      <c r="B2479" s="8">
        <v>44919</v>
      </c>
      <c r="C2479" t="s">
        <v>19</v>
      </c>
      <c r="D2479" t="s">
        <v>12</v>
      </c>
      <c r="E2479" t="s">
        <v>13</v>
      </c>
      <c r="F2479" t="s">
        <v>10</v>
      </c>
      <c r="G2479">
        <v>45</v>
      </c>
      <c r="H2479" s="11">
        <v>99</v>
      </c>
    </row>
    <row r="2480" spans="2:8" x14ac:dyDescent="0.25">
      <c r="B2480" s="8">
        <v>44920</v>
      </c>
      <c r="C2480" t="s">
        <v>15</v>
      </c>
      <c r="D2480" t="s">
        <v>8</v>
      </c>
      <c r="E2480" t="s">
        <v>9</v>
      </c>
      <c r="F2480" t="s">
        <v>10</v>
      </c>
      <c r="G2480">
        <v>30</v>
      </c>
      <c r="H2480" s="11">
        <v>88</v>
      </c>
    </row>
    <row r="2481" spans="2:8" x14ac:dyDescent="0.25">
      <c r="B2481" s="8">
        <v>44920</v>
      </c>
      <c r="C2481" t="s">
        <v>29</v>
      </c>
      <c r="D2481" t="s">
        <v>18</v>
      </c>
      <c r="E2481" t="s">
        <v>9</v>
      </c>
      <c r="F2481" t="s">
        <v>14</v>
      </c>
      <c r="G2481">
        <v>79</v>
      </c>
      <c r="H2481" s="11">
        <v>41</v>
      </c>
    </row>
    <row r="2482" spans="2:8" x14ac:dyDescent="0.25">
      <c r="B2482" s="8">
        <v>44920</v>
      </c>
      <c r="C2482" t="s">
        <v>7</v>
      </c>
      <c r="D2482" t="s">
        <v>8</v>
      </c>
      <c r="E2482" t="s">
        <v>13</v>
      </c>
      <c r="F2482" t="s">
        <v>16</v>
      </c>
      <c r="G2482">
        <v>49</v>
      </c>
      <c r="H2482" s="11">
        <v>133</v>
      </c>
    </row>
    <row r="2483" spans="2:8" x14ac:dyDescent="0.25">
      <c r="B2483" s="8">
        <v>44920</v>
      </c>
      <c r="C2483" t="s">
        <v>11</v>
      </c>
      <c r="D2483" t="s">
        <v>12</v>
      </c>
      <c r="E2483" t="s">
        <v>13</v>
      </c>
      <c r="F2483" t="s">
        <v>10</v>
      </c>
      <c r="G2483">
        <v>50</v>
      </c>
      <c r="H2483" s="11">
        <v>112</v>
      </c>
    </row>
    <row r="2484" spans="2:8" x14ac:dyDescent="0.25">
      <c r="B2484" s="8">
        <v>44920</v>
      </c>
      <c r="C2484" t="s">
        <v>7</v>
      </c>
      <c r="D2484" t="s">
        <v>8</v>
      </c>
      <c r="E2484" t="s">
        <v>9</v>
      </c>
      <c r="F2484" t="s">
        <v>16</v>
      </c>
      <c r="G2484">
        <v>47</v>
      </c>
      <c r="H2484" s="11">
        <v>48</v>
      </c>
    </row>
    <row r="2485" spans="2:8" x14ac:dyDescent="0.25">
      <c r="B2485" s="8">
        <v>44921</v>
      </c>
      <c r="C2485" t="s">
        <v>11</v>
      </c>
      <c r="D2485" t="s">
        <v>12</v>
      </c>
      <c r="E2485" t="s">
        <v>9</v>
      </c>
      <c r="F2485" t="s">
        <v>10</v>
      </c>
      <c r="G2485">
        <v>49</v>
      </c>
      <c r="H2485" s="11">
        <v>93</v>
      </c>
    </row>
    <row r="2486" spans="2:8" x14ac:dyDescent="0.25">
      <c r="B2486" s="8">
        <v>44921</v>
      </c>
      <c r="C2486" t="s">
        <v>29</v>
      </c>
      <c r="D2486" t="s">
        <v>18</v>
      </c>
      <c r="E2486" t="s">
        <v>13</v>
      </c>
      <c r="F2486" t="s">
        <v>10</v>
      </c>
      <c r="G2486">
        <v>50</v>
      </c>
      <c r="H2486" s="11">
        <v>139</v>
      </c>
    </row>
    <row r="2487" spans="2:8" x14ac:dyDescent="0.25">
      <c r="B2487" s="8">
        <v>44921</v>
      </c>
      <c r="C2487" t="s">
        <v>17</v>
      </c>
      <c r="D2487" t="s">
        <v>18</v>
      </c>
      <c r="E2487" t="s">
        <v>9</v>
      </c>
      <c r="F2487" t="s">
        <v>14</v>
      </c>
      <c r="G2487">
        <v>47</v>
      </c>
      <c r="H2487" s="11">
        <v>149</v>
      </c>
    </row>
    <row r="2488" spans="2:8" x14ac:dyDescent="0.25">
      <c r="B2488" s="8">
        <v>44921</v>
      </c>
      <c r="C2488" t="s">
        <v>11</v>
      </c>
      <c r="D2488" t="s">
        <v>12</v>
      </c>
      <c r="E2488" t="s">
        <v>13</v>
      </c>
      <c r="F2488" t="s">
        <v>10</v>
      </c>
      <c r="G2488">
        <v>93</v>
      </c>
      <c r="H2488" s="11">
        <v>55</v>
      </c>
    </row>
    <row r="2489" spans="2:8" x14ac:dyDescent="0.25">
      <c r="B2489" s="8">
        <v>44921</v>
      </c>
      <c r="C2489" t="s">
        <v>19</v>
      </c>
      <c r="D2489" t="s">
        <v>12</v>
      </c>
      <c r="E2489" t="s">
        <v>13</v>
      </c>
      <c r="F2489" t="s">
        <v>10</v>
      </c>
      <c r="G2489">
        <v>44</v>
      </c>
      <c r="H2489" s="11">
        <v>56</v>
      </c>
    </row>
    <row r="2490" spans="2:8" x14ac:dyDescent="0.25">
      <c r="B2490" s="8">
        <v>44921</v>
      </c>
      <c r="C2490" t="s">
        <v>26</v>
      </c>
      <c r="D2490" t="s">
        <v>12</v>
      </c>
      <c r="E2490" t="s">
        <v>13</v>
      </c>
      <c r="F2490" t="s">
        <v>14</v>
      </c>
      <c r="G2490">
        <v>54</v>
      </c>
      <c r="H2490" s="11">
        <v>105</v>
      </c>
    </row>
    <row r="2491" spans="2:8" x14ac:dyDescent="0.25">
      <c r="B2491" s="8">
        <v>44921</v>
      </c>
      <c r="C2491" t="s">
        <v>23</v>
      </c>
      <c r="D2491" t="s">
        <v>18</v>
      </c>
      <c r="E2491" t="s">
        <v>9</v>
      </c>
      <c r="F2491" t="s">
        <v>14</v>
      </c>
      <c r="G2491">
        <v>34</v>
      </c>
      <c r="H2491" s="11">
        <v>121</v>
      </c>
    </row>
    <row r="2492" spans="2:8" x14ac:dyDescent="0.25">
      <c r="B2492" s="8">
        <v>44921</v>
      </c>
      <c r="C2492" t="s">
        <v>17</v>
      </c>
      <c r="D2492" t="s">
        <v>18</v>
      </c>
      <c r="E2492" t="s">
        <v>13</v>
      </c>
      <c r="F2492" t="s">
        <v>16</v>
      </c>
      <c r="G2492">
        <v>42</v>
      </c>
      <c r="H2492" s="11">
        <v>98</v>
      </c>
    </row>
    <row r="2493" spans="2:8" x14ac:dyDescent="0.25">
      <c r="B2493" s="8">
        <v>44921</v>
      </c>
      <c r="C2493" t="s">
        <v>21</v>
      </c>
      <c r="D2493" t="s">
        <v>8</v>
      </c>
      <c r="E2493" t="s">
        <v>9</v>
      </c>
      <c r="F2493" t="s">
        <v>14</v>
      </c>
      <c r="G2493">
        <v>90</v>
      </c>
      <c r="H2493" s="11">
        <v>127</v>
      </c>
    </row>
    <row r="2494" spans="2:8" x14ac:dyDescent="0.25">
      <c r="B2494" s="8">
        <v>44921</v>
      </c>
      <c r="C2494" t="s">
        <v>28</v>
      </c>
      <c r="D2494" t="s">
        <v>8</v>
      </c>
      <c r="E2494" t="s">
        <v>9</v>
      </c>
      <c r="F2494" t="s">
        <v>10</v>
      </c>
      <c r="G2494">
        <v>55</v>
      </c>
      <c r="H2494" s="11">
        <v>51</v>
      </c>
    </row>
    <row r="2495" spans="2:8" x14ac:dyDescent="0.25">
      <c r="B2495" s="8">
        <v>44921</v>
      </c>
      <c r="C2495" t="s">
        <v>17</v>
      </c>
      <c r="D2495" t="s">
        <v>18</v>
      </c>
      <c r="E2495" t="s">
        <v>13</v>
      </c>
      <c r="F2495" t="s">
        <v>10</v>
      </c>
      <c r="G2495">
        <v>29</v>
      </c>
      <c r="H2495" s="11">
        <v>46</v>
      </c>
    </row>
    <row r="2496" spans="2:8" x14ac:dyDescent="0.25">
      <c r="B2496" s="8">
        <v>44921</v>
      </c>
      <c r="C2496" t="s">
        <v>29</v>
      </c>
      <c r="D2496" t="s">
        <v>18</v>
      </c>
      <c r="E2496" t="s">
        <v>13</v>
      </c>
      <c r="F2496" t="s">
        <v>16</v>
      </c>
      <c r="G2496">
        <v>72</v>
      </c>
      <c r="H2496" s="11">
        <v>114</v>
      </c>
    </row>
    <row r="2497" spans="2:8" x14ac:dyDescent="0.25">
      <c r="B2497" s="8">
        <v>44921</v>
      </c>
      <c r="C2497" t="s">
        <v>23</v>
      </c>
      <c r="D2497" t="s">
        <v>18</v>
      </c>
      <c r="E2497" t="s">
        <v>13</v>
      </c>
      <c r="F2497" t="s">
        <v>16</v>
      </c>
      <c r="G2497">
        <v>94</v>
      </c>
      <c r="H2497" s="11">
        <v>94</v>
      </c>
    </row>
    <row r="2498" spans="2:8" x14ac:dyDescent="0.25">
      <c r="B2498" s="8">
        <v>44921</v>
      </c>
      <c r="C2498" t="s">
        <v>27</v>
      </c>
      <c r="D2498" t="s">
        <v>18</v>
      </c>
      <c r="E2498" t="s">
        <v>9</v>
      </c>
      <c r="F2498" t="s">
        <v>14</v>
      </c>
      <c r="G2498">
        <v>42</v>
      </c>
      <c r="H2498" s="11">
        <v>94</v>
      </c>
    </row>
    <row r="2499" spans="2:8" x14ac:dyDescent="0.25">
      <c r="B2499" s="8">
        <v>44922</v>
      </c>
      <c r="C2499" t="s">
        <v>28</v>
      </c>
      <c r="D2499" t="s">
        <v>8</v>
      </c>
      <c r="E2499" t="s">
        <v>9</v>
      </c>
      <c r="F2499" t="s">
        <v>14</v>
      </c>
      <c r="G2499">
        <v>52</v>
      </c>
      <c r="H2499" s="11">
        <v>60</v>
      </c>
    </row>
    <row r="2500" spans="2:8" x14ac:dyDescent="0.25">
      <c r="B2500" s="8">
        <v>44922</v>
      </c>
      <c r="C2500" t="s">
        <v>7</v>
      </c>
      <c r="D2500" t="s">
        <v>8</v>
      </c>
      <c r="E2500" t="s">
        <v>13</v>
      </c>
      <c r="F2500" t="s">
        <v>10</v>
      </c>
      <c r="G2500">
        <v>46</v>
      </c>
      <c r="H2500" s="11">
        <v>23</v>
      </c>
    </row>
    <row r="2501" spans="2:8" x14ac:dyDescent="0.25">
      <c r="B2501" s="8">
        <v>44922</v>
      </c>
      <c r="C2501" t="s">
        <v>19</v>
      </c>
      <c r="D2501" t="s">
        <v>12</v>
      </c>
      <c r="E2501" t="s">
        <v>13</v>
      </c>
      <c r="F2501" t="s">
        <v>10</v>
      </c>
      <c r="G2501">
        <v>19</v>
      </c>
      <c r="H2501" s="11">
        <v>130</v>
      </c>
    </row>
    <row r="2502" spans="2:8" x14ac:dyDescent="0.25">
      <c r="B2502" s="8">
        <v>44922</v>
      </c>
      <c r="C2502" t="s">
        <v>21</v>
      </c>
      <c r="D2502" t="s">
        <v>8</v>
      </c>
      <c r="E2502" t="s">
        <v>13</v>
      </c>
      <c r="F2502" t="s">
        <v>16</v>
      </c>
      <c r="G2502">
        <v>67</v>
      </c>
      <c r="H2502" s="11">
        <v>79</v>
      </c>
    </row>
    <row r="2503" spans="2:8" x14ac:dyDescent="0.25">
      <c r="B2503" s="8">
        <v>44922</v>
      </c>
      <c r="C2503" t="s">
        <v>25</v>
      </c>
      <c r="D2503" t="s">
        <v>12</v>
      </c>
      <c r="E2503" t="s">
        <v>13</v>
      </c>
      <c r="F2503" t="s">
        <v>10</v>
      </c>
      <c r="G2503">
        <v>74</v>
      </c>
      <c r="H2503" s="11">
        <v>118</v>
      </c>
    </row>
    <row r="2504" spans="2:8" x14ac:dyDescent="0.25">
      <c r="B2504" s="8">
        <v>44922</v>
      </c>
      <c r="C2504" t="s">
        <v>23</v>
      </c>
      <c r="D2504" t="s">
        <v>18</v>
      </c>
      <c r="E2504" t="s">
        <v>9</v>
      </c>
      <c r="F2504" t="s">
        <v>14</v>
      </c>
      <c r="G2504">
        <v>26</v>
      </c>
      <c r="H2504" s="11">
        <v>29</v>
      </c>
    </row>
    <row r="2505" spans="2:8" x14ac:dyDescent="0.25">
      <c r="B2505" s="8">
        <v>44923</v>
      </c>
      <c r="C2505" t="s">
        <v>23</v>
      </c>
      <c r="D2505" t="s">
        <v>18</v>
      </c>
      <c r="E2505" t="s">
        <v>13</v>
      </c>
      <c r="F2505" t="s">
        <v>16</v>
      </c>
      <c r="G2505">
        <v>87</v>
      </c>
      <c r="H2505" s="11">
        <v>114</v>
      </c>
    </row>
    <row r="2506" spans="2:8" x14ac:dyDescent="0.25">
      <c r="B2506" s="8">
        <v>44923</v>
      </c>
      <c r="C2506" t="s">
        <v>20</v>
      </c>
      <c r="D2506" t="s">
        <v>8</v>
      </c>
      <c r="E2506" t="s">
        <v>13</v>
      </c>
      <c r="F2506" t="s">
        <v>14</v>
      </c>
      <c r="G2506">
        <v>81</v>
      </c>
      <c r="H2506" s="11">
        <v>78</v>
      </c>
    </row>
    <row r="2507" spans="2:8" x14ac:dyDescent="0.25">
      <c r="B2507" s="8">
        <v>44923</v>
      </c>
      <c r="C2507" t="s">
        <v>28</v>
      </c>
      <c r="D2507" t="s">
        <v>8</v>
      </c>
      <c r="E2507" t="s">
        <v>9</v>
      </c>
      <c r="F2507" t="s">
        <v>10</v>
      </c>
      <c r="G2507">
        <v>91</v>
      </c>
      <c r="H2507" s="11">
        <v>135</v>
      </c>
    </row>
    <row r="2508" spans="2:8" x14ac:dyDescent="0.25">
      <c r="B2508" s="8">
        <v>44923</v>
      </c>
      <c r="C2508" t="s">
        <v>20</v>
      </c>
      <c r="D2508" t="s">
        <v>8</v>
      </c>
      <c r="E2508" t="s">
        <v>9</v>
      </c>
      <c r="F2508" t="s">
        <v>14</v>
      </c>
      <c r="G2508">
        <v>16</v>
      </c>
      <c r="H2508" s="11">
        <v>114</v>
      </c>
    </row>
    <row r="2509" spans="2:8" x14ac:dyDescent="0.25">
      <c r="B2509" s="8">
        <v>44923</v>
      </c>
      <c r="C2509" t="s">
        <v>21</v>
      </c>
      <c r="D2509" t="s">
        <v>8</v>
      </c>
      <c r="E2509" t="s">
        <v>13</v>
      </c>
      <c r="F2509" t="s">
        <v>14</v>
      </c>
      <c r="G2509">
        <v>97</v>
      </c>
      <c r="H2509" s="11">
        <v>145</v>
      </c>
    </row>
    <row r="2510" spans="2:8" x14ac:dyDescent="0.25">
      <c r="B2510" s="8">
        <v>44923</v>
      </c>
      <c r="C2510" t="s">
        <v>29</v>
      </c>
      <c r="D2510" t="s">
        <v>18</v>
      </c>
      <c r="E2510" t="s">
        <v>9</v>
      </c>
      <c r="F2510" t="s">
        <v>14</v>
      </c>
      <c r="G2510">
        <v>33</v>
      </c>
      <c r="H2510" s="11">
        <v>97</v>
      </c>
    </row>
    <row r="2511" spans="2:8" x14ac:dyDescent="0.25">
      <c r="B2511" s="8">
        <v>44923</v>
      </c>
      <c r="C2511" t="s">
        <v>24</v>
      </c>
      <c r="D2511" t="s">
        <v>18</v>
      </c>
      <c r="E2511" t="s">
        <v>13</v>
      </c>
      <c r="F2511" t="s">
        <v>16</v>
      </c>
      <c r="G2511">
        <v>86</v>
      </c>
      <c r="H2511" s="11">
        <v>72</v>
      </c>
    </row>
    <row r="2512" spans="2:8" x14ac:dyDescent="0.25">
      <c r="B2512" s="8">
        <v>44923</v>
      </c>
      <c r="C2512" t="s">
        <v>28</v>
      </c>
      <c r="D2512" t="s">
        <v>8</v>
      </c>
      <c r="E2512" t="s">
        <v>13</v>
      </c>
      <c r="F2512" t="s">
        <v>14</v>
      </c>
      <c r="G2512">
        <v>83</v>
      </c>
      <c r="H2512" s="11">
        <v>44</v>
      </c>
    </row>
    <row r="2513" spans="2:8" x14ac:dyDescent="0.25">
      <c r="B2513" s="8">
        <v>44924</v>
      </c>
      <c r="C2513" t="s">
        <v>17</v>
      </c>
      <c r="D2513" t="s">
        <v>18</v>
      </c>
      <c r="E2513" t="s">
        <v>13</v>
      </c>
      <c r="F2513" t="s">
        <v>14</v>
      </c>
      <c r="G2513">
        <v>37</v>
      </c>
      <c r="H2513" s="11">
        <v>105</v>
      </c>
    </row>
    <row r="2514" spans="2:8" x14ac:dyDescent="0.25">
      <c r="B2514" s="8">
        <v>44924</v>
      </c>
      <c r="C2514" t="s">
        <v>7</v>
      </c>
      <c r="D2514" t="s">
        <v>8</v>
      </c>
      <c r="E2514" t="s">
        <v>9</v>
      </c>
      <c r="F2514" t="s">
        <v>14</v>
      </c>
      <c r="G2514">
        <v>59</v>
      </c>
      <c r="H2514" s="11">
        <v>124</v>
      </c>
    </row>
    <row r="2515" spans="2:8" x14ac:dyDescent="0.25">
      <c r="B2515" s="8">
        <v>44924</v>
      </c>
      <c r="C2515" t="s">
        <v>29</v>
      </c>
      <c r="D2515" t="s">
        <v>18</v>
      </c>
      <c r="E2515" t="s">
        <v>9</v>
      </c>
      <c r="F2515" t="s">
        <v>10</v>
      </c>
      <c r="G2515">
        <v>82</v>
      </c>
      <c r="H2515" s="11">
        <v>104</v>
      </c>
    </row>
    <row r="2516" spans="2:8" x14ac:dyDescent="0.25">
      <c r="B2516" s="8">
        <v>44924</v>
      </c>
      <c r="C2516" t="s">
        <v>15</v>
      </c>
      <c r="D2516" t="s">
        <v>8</v>
      </c>
      <c r="E2516" t="s">
        <v>9</v>
      </c>
      <c r="F2516" t="s">
        <v>16</v>
      </c>
      <c r="G2516">
        <v>39</v>
      </c>
      <c r="H2516" s="11">
        <v>63</v>
      </c>
    </row>
    <row r="2517" spans="2:8" x14ac:dyDescent="0.25">
      <c r="B2517" s="8">
        <v>44925</v>
      </c>
      <c r="C2517" t="s">
        <v>26</v>
      </c>
      <c r="D2517" t="s">
        <v>12</v>
      </c>
      <c r="E2517" t="s">
        <v>13</v>
      </c>
      <c r="F2517" t="s">
        <v>10</v>
      </c>
      <c r="G2517">
        <v>61</v>
      </c>
      <c r="H2517" s="11">
        <v>83</v>
      </c>
    </row>
    <row r="2518" spans="2:8" x14ac:dyDescent="0.25">
      <c r="B2518" s="8">
        <v>44925</v>
      </c>
      <c r="C2518" t="s">
        <v>29</v>
      </c>
      <c r="D2518" t="s">
        <v>18</v>
      </c>
      <c r="E2518" t="s">
        <v>13</v>
      </c>
      <c r="F2518" t="s">
        <v>14</v>
      </c>
      <c r="G2518">
        <v>73</v>
      </c>
      <c r="H2518" s="11">
        <v>46</v>
      </c>
    </row>
    <row r="2519" spans="2:8" x14ac:dyDescent="0.25">
      <c r="B2519" s="8">
        <v>44925</v>
      </c>
      <c r="C2519" t="s">
        <v>7</v>
      </c>
      <c r="D2519" t="s">
        <v>8</v>
      </c>
      <c r="E2519" t="s">
        <v>13</v>
      </c>
      <c r="F2519" t="s">
        <v>14</v>
      </c>
      <c r="G2519">
        <v>62</v>
      </c>
      <c r="H2519" s="11">
        <v>92</v>
      </c>
    </row>
    <row r="2520" spans="2:8" x14ac:dyDescent="0.25">
      <c r="B2520" s="8">
        <v>44925</v>
      </c>
      <c r="C2520" t="s">
        <v>23</v>
      </c>
      <c r="D2520" t="s">
        <v>18</v>
      </c>
      <c r="E2520" t="s">
        <v>13</v>
      </c>
      <c r="F2520" t="s">
        <v>16</v>
      </c>
      <c r="G2520">
        <v>99</v>
      </c>
      <c r="H2520" s="11">
        <v>72</v>
      </c>
    </row>
    <row r="2521" spans="2:8" x14ac:dyDescent="0.25">
      <c r="B2521" s="8">
        <v>44925</v>
      </c>
      <c r="C2521" t="s">
        <v>22</v>
      </c>
      <c r="D2521" t="s">
        <v>12</v>
      </c>
      <c r="E2521" t="s">
        <v>9</v>
      </c>
      <c r="F2521" t="s">
        <v>16</v>
      </c>
      <c r="G2521">
        <v>12</v>
      </c>
      <c r="H2521" s="11">
        <v>30</v>
      </c>
    </row>
    <row r="2522" spans="2:8" x14ac:dyDescent="0.25">
      <c r="B2522" s="8">
        <v>44925</v>
      </c>
      <c r="C2522" t="s">
        <v>22</v>
      </c>
      <c r="D2522" t="s">
        <v>12</v>
      </c>
      <c r="E2522" t="s">
        <v>9</v>
      </c>
      <c r="F2522" t="s">
        <v>16</v>
      </c>
      <c r="G2522">
        <v>40</v>
      </c>
      <c r="H2522" s="11">
        <v>142</v>
      </c>
    </row>
    <row r="2523" spans="2:8" x14ac:dyDescent="0.25">
      <c r="B2523" s="8">
        <v>44925</v>
      </c>
      <c r="C2523" t="s">
        <v>28</v>
      </c>
      <c r="D2523" t="s">
        <v>8</v>
      </c>
      <c r="E2523" t="s">
        <v>13</v>
      </c>
      <c r="F2523" t="s">
        <v>14</v>
      </c>
      <c r="G2523">
        <v>93</v>
      </c>
      <c r="H2523" s="11">
        <v>149</v>
      </c>
    </row>
    <row r="2524" spans="2:8" x14ac:dyDescent="0.25">
      <c r="B2524" s="8">
        <v>44926</v>
      </c>
      <c r="C2524" t="s">
        <v>21</v>
      </c>
      <c r="D2524" t="s">
        <v>8</v>
      </c>
      <c r="E2524" t="s">
        <v>9</v>
      </c>
      <c r="F2524" t="s">
        <v>14</v>
      </c>
      <c r="G2524">
        <v>34</v>
      </c>
      <c r="H2524" s="11">
        <v>26</v>
      </c>
    </row>
    <row r="2525" spans="2:8" x14ac:dyDescent="0.25">
      <c r="B2525" s="8">
        <v>44926</v>
      </c>
      <c r="C2525" t="s">
        <v>26</v>
      </c>
      <c r="D2525" t="s">
        <v>12</v>
      </c>
      <c r="E2525" t="s">
        <v>13</v>
      </c>
      <c r="F2525" t="s">
        <v>16</v>
      </c>
      <c r="G2525">
        <v>86</v>
      </c>
      <c r="H2525" s="11">
        <v>122</v>
      </c>
    </row>
    <row r="2526" spans="2:8" x14ac:dyDescent="0.25">
      <c r="B2526" s="8">
        <v>44926</v>
      </c>
      <c r="C2526" t="s">
        <v>11</v>
      </c>
      <c r="D2526" t="s">
        <v>12</v>
      </c>
      <c r="E2526" t="s">
        <v>13</v>
      </c>
      <c r="F2526" t="s">
        <v>14</v>
      </c>
      <c r="G2526">
        <v>10</v>
      </c>
      <c r="H2526" s="11">
        <v>44</v>
      </c>
    </row>
    <row r="2527" spans="2:8" x14ac:dyDescent="0.25">
      <c r="B2527" s="8">
        <v>44926</v>
      </c>
      <c r="C2527" t="s">
        <v>25</v>
      </c>
      <c r="D2527" t="s">
        <v>12</v>
      </c>
      <c r="E2527" t="s">
        <v>13</v>
      </c>
      <c r="F2527" t="s">
        <v>14</v>
      </c>
      <c r="G2527">
        <v>73</v>
      </c>
      <c r="H2527" s="11">
        <v>38</v>
      </c>
    </row>
    <row r="2528" spans="2:8" x14ac:dyDescent="0.25">
      <c r="B2528" s="8">
        <v>44926</v>
      </c>
      <c r="C2528" t="s">
        <v>27</v>
      </c>
      <c r="D2528" t="s">
        <v>18</v>
      </c>
      <c r="E2528" t="s">
        <v>13</v>
      </c>
      <c r="F2528" t="s">
        <v>10</v>
      </c>
      <c r="G2528">
        <v>58</v>
      </c>
      <c r="H2528" s="11">
        <v>28</v>
      </c>
    </row>
    <row r="2529" spans="2:8" x14ac:dyDescent="0.25">
      <c r="B2529" s="8">
        <v>44926</v>
      </c>
      <c r="C2529" t="s">
        <v>7</v>
      </c>
      <c r="D2529" t="s">
        <v>8</v>
      </c>
      <c r="E2529" t="s">
        <v>13</v>
      </c>
      <c r="F2529" t="s">
        <v>14</v>
      </c>
      <c r="G2529">
        <v>10</v>
      </c>
      <c r="H2529" s="11">
        <v>70</v>
      </c>
    </row>
    <row r="2530" spans="2:8" x14ac:dyDescent="0.25">
      <c r="B2530" s="8">
        <v>44926</v>
      </c>
      <c r="C2530" t="s">
        <v>24</v>
      </c>
      <c r="D2530" t="s">
        <v>18</v>
      </c>
      <c r="E2530" t="s">
        <v>13</v>
      </c>
      <c r="F2530" t="s">
        <v>10</v>
      </c>
      <c r="G2530">
        <v>15</v>
      </c>
      <c r="H2530" s="11">
        <v>138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BBB7E-A06B-4656-9F09-DABC2F15295A}">
  <sheetPr codeName="Planilha2"/>
  <dimension ref="A3:L85"/>
  <sheetViews>
    <sheetView workbookViewId="0">
      <selection activeCell="A3" sqref="A3"/>
    </sheetView>
  </sheetViews>
  <sheetFormatPr defaultRowHeight="15" x14ac:dyDescent="0.25"/>
  <cols>
    <col min="1" max="1" width="32" bestFit="1" customWidth="1"/>
    <col min="2" max="2" width="19.5703125" bestFit="1" customWidth="1"/>
    <col min="3" max="3" width="9.5703125" bestFit="1" customWidth="1"/>
    <col min="4" max="4" width="10.7109375" bestFit="1" customWidth="1"/>
    <col min="6" max="6" width="19.7109375" bestFit="1" customWidth="1"/>
    <col min="7" max="7" width="19.5703125" bestFit="1" customWidth="1"/>
    <col min="8" max="8" width="19.7109375" bestFit="1" customWidth="1"/>
    <col min="9" max="9" width="19.5703125" bestFit="1" customWidth="1"/>
    <col min="10" max="11" width="10.7109375" bestFit="1" customWidth="1"/>
  </cols>
  <sheetData>
    <row r="3" spans="1:9" x14ac:dyDescent="0.25">
      <c r="A3" s="19" t="s">
        <v>32</v>
      </c>
      <c r="B3" s="19" t="s">
        <v>33</v>
      </c>
      <c r="G3" s="19" t="s">
        <v>33</v>
      </c>
    </row>
    <row r="4" spans="1:9" x14ac:dyDescent="0.25">
      <c r="A4" s="19" t="s">
        <v>30</v>
      </c>
      <c r="B4" t="s">
        <v>9</v>
      </c>
      <c r="C4" t="s">
        <v>13</v>
      </c>
      <c r="D4" t="s">
        <v>31</v>
      </c>
      <c r="G4" t="s">
        <v>9</v>
      </c>
      <c r="H4" t="s">
        <v>13</v>
      </c>
      <c r="I4" t="s">
        <v>31</v>
      </c>
    </row>
    <row r="5" spans="1:9" x14ac:dyDescent="0.25">
      <c r="A5" s="20" t="s">
        <v>14</v>
      </c>
      <c r="B5" s="27">
        <v>23548</v>
      </c>
      <c r="C5" s="27">
        <v>21681</v>
      </c>
      <c r="D5" s="27">
        <v>45229</v>
      </c>
      <c r="F5" t="s">
        <v>32</v>
      </c>
      <c r="G5" s="21">
        <v>0.49081747805898379</v>
      </c>
      <c r="H5" s="21">
        <v>0.50918252194101621</v>
      </c>
      <c r="I5" s="21">
        <v>1</v>
      </c>
    </row>
    <row r="6" spans="1:9" x14ac:dyDescent="0.25">
      <c r="A6" s="20" t="s">
        <v>16</v>
      </c>
      <c r="B6" s="27">
        <v>22746</v>
      </c>
      <c r="C6" s="27">
        <v>24130</v>
      </c>
      <c r="D6" s="27">
        <v>46876</v>
      </c>
    </row>
    <row r="7" spans="1:9" x14ac:dyDescent="0.25">
      <c r="A7" s="20" t="s">
        <v>10</v>
      </c>
      <c r="B7" s="27">
        <v>21990</v>
      </c>
      <c r="C7" s="27">
        <v>25028</v>
      </c>
      <c r="D7" s="27">
        <v>47018</v>
      </c>
    </row>
    <row r="8" spans="1:9" x14ac:dyDescent="0.25">
      <c r="A8" s="20" t="s">
        <v>31</v>
      </c>
      <c r="B8" s="27">
        <v>68284</v>
      </c>
      <c r="C8" s="27">
        <v>70839</v>
      </c>
      <c r="D8" s="27">
        <v>139123</v>
      </c>
    </row>
    <row r="17" spans="1:10" x14ac:dyDescent="0.25">
      <c r="A17" s="19" t="s">
        <v>32</v>
      </c>
      <c r="B17" s="19" t="s">
        <v>33</v>
      </c>
    </row>
    <row r="18" spans="1:10" x14ac:dyDescent="0.25">
      <c r="A18" s="19" t="s">
        <v>30</v>
      </c>
      <c r="B18" t="s">
        <v>9</v>
      </c>
      <c r="C18" t="s">
        <v>13</v>
      </c>
      <c r="D18" t="s">
        <v>31</v>
      </c>
      <c r="F18" t="str">
        <f>_xlfn.CONCAT(TEXT(B19,"0.000")," | ",A19," | ",TEXT(C19,"0.000"))</f>
        <v>21.712 | Equip. Elétricos | 24.327</v>
      </c>
    </row>
    <row r="19" spans="1:10" x14ac:dyDescent="0.25">
      <c r="A19" s="20" t="s">
        <v>8</v>
      </c>
      <c r="B19" s="27">
        <v>21712</v>
      </c>
      <c r="C19" s="27">
        <v>24327</v>
      </c>
      <c r="D19" s="27">
        <v>46039</v>
      </c>
      <c r="F19" t="str">
        <f t="shared" ref="F19:F21" si="0">_xlfn.CONCAT(TEXT(B20,"0.000")," | ",A20," | ",TEXT(C20,"0.000"))</f>
        <v>23.018 | Iluminação | 23.543</v>
      </c>
    </row>
    <row r="20" spans="1:10" x14ac:dyDescent="0.25">
      <c r="A20" s="20" t="s">
        <v>12</v>
      </c>
      <c r="B20" s="27">
        <v>23018</v>
      </c>
      <c r="C20" s="27">
        <v>23543</v>
      </c>
      <c r="D20" s="27">
        <v>46561</v>
      </c>
      <c r="F20" t="str">
        <f t="shared" si="0"/>
        <v>23.554 | Materiais Elétricos | 22.969</v>
      </c>
    </row>
    <row r="21" spans="1:10" x14ac:dyDescent="0.25">
      <c r="A21" s="20" t="s">
        <v>18</v>
      </c>
      <c r="B21" s="27">
        <v>23554</v>
      </c>
      <c r="C21" s="27">
        <v>22969</v>
      </c>
      <c r="D21" s="27">
        <v>46523</v>
      </c>
      <c r="F21" t="str">
        <f t="shared" si="0"/>
        <v>68.284 | Total Geral | 70.839</v>
      </c>
    </row>
    <row r="22" spans="1:10" x14ac:dyDescent="0.25">
      <c r="A22" s="20" t="s">
        <v>31</v>
      </c>
      <c r="B22" s="27">
        <v>68284</v>
      </c>
      <c r="C22" s="27">
        <v>70839</v>
      </c>
      <c r="D22" s="27">
        <v>139123</v>
      </c>
    </row>
    <row r="26" spans="1:10" x14ac:dyDescent="0.25">
      <c r="A26" s="19" t="s">
        <v>32</v>
      </c>
      <c r="B26" s="19" t="s">
        <v>33</v>
      </c>
      <c r="H26" s="19" t="s">
        <v>32</v>
      </c>
      <c r="I26" s="19" t="s">
        <v>33</v>
      </c>
    </row>
    <row r="27" spans="1:10" x14ac:dyDescent="0.25">
      <c r="A27" s="19" t="s">
        <v>30</v>
      </c>
      <c r="B27" t="s">
        <v>9</v>
      </c>
      <c r="C27" t="s">
        <v>31</v>
      </c>
      <c r="H27" s="19" t="s">
        <v>30</v>
      </c>
      <c r="I27" t="s">
        <v>13</v>
      </c>
      <c r="J27" t="s">
        <v>31</v>
      </c>
    </row>
    <row r="28" spans="1:10" x14ac:dyDescent="0.25">
      <c r="A28" s="20" t="s">
        <v>34</v>
      </c>
      <c r="B28" s="27">
        <v>4835</v>
      </c>
      <c r="C28" s="27">
        <v>4835</v>
      </c>
      <c r="H28" s="20" t="s">
        <v>34</v>
      </c>
      <c r="I28" s="27">
        <v>5134</v>
      </c>
      <c r="J28" s="27">
        <v>5134</v>
      </c>
    </row>
    <row r="29" spans="1:10" x14ac:dyDescent="0.25">
      <c r="A29" s="20" t="s">
        <v>35</v>
      </c>
      <c r="B29" s="27">
        <v>5885</v>
      </c>
      <c r="C29" s="27">
        <v>5885</v>
      </c>
      <c r="H29" s="20" t="s">
        <v>35</v>
      </c>
      <c r="I29" s="27">
        <v>5611</v>
      </c>
      <c r="J29" s="27">
        <v>5611</v>
      </c>
    </row>
    <row r="30" spans="1:10" x14ac:dyDescent="0.25">
      <c r="A30" s="20" t="s">
        <v>36</v>
      </c>
      <c r="B30" s="27">
        <v>5705</v>
      </c>
      <c r="C30" s="27">
        <v>5705</v>
      </c>
      <c r="H30" s="20" t="s">
        <v>36</v>
      </c>
      <c r="I30" s="27">
        <v>5832</v>
      </c>
      <c r="J30" s="27">
        <v>5832</v>
      </c>
    </row>
    <row r="31" spans="1:10" x14ac:dyDescent="0.25">
      <c r="A31" s="20" t="s">
        <v>37</v>
      </c>
      <c r="B31" s="27">
        <v>4810</v>
      </c>
      <c r="C31" s="27">
        <v>4810</v>
      </c>
      <c r="H31" s="20" t="s">
        <v>37</v>
      </c>
      <c r="I31" s="27">
        <v>6559</v>
      </c>
      <c r="J31" s="27">
        <v>6559</v>
      </c>
    </row>
    <row r="32" spans="1:10" x14ac:dyDescent="0.25">
      <c r="A32" s="20" t="s">
        <v>38</v>
      </c>
      <c r="B32" s="27">
        <v>5802</v>
      </c>
      <c r="C32" s="27">
        <v>5802</v>
      </c>
      <c r="H32" s="20" t="s">
        <v>38</v>
      </c>
      <c r="I32" s="27">
        <v>5189</v>
      </c>
      <c r="J32" s="27">
        <v>5189</v>
      </c>
    </row>
    <row r="33" spans="1:12" x14ac:dyDescent="0.25">
      <c r="A33" s="20" t="s">
        <v>39</v>
      </c>
      <c r="B33" s="27">
        <v>5447</v>
      </c>
      <c r="C33" s="27">
        <v>5447</v>
      </c>
      <c r="H33" s="20" t="s">
        <v>39</v>
      </c>
      <c r="I33" s="27">
        <v>6351</v>
      </c>
      <c r="J33" s="27">
        <v>6351</v>
      </c>
    </row>
    <row r="34" spans="1:12" x14ac:dyDescent="0.25">
      <c r="A34" s="20" t="s">
        <v>40</v>
      </c>
      <c r="B34" s="27">
        <v>6664</v>
      </c>
      <c r="C34" s="27">
        <v>6664</v>
      </c>
      <c r="H34" s="20" t="s">
        <v>40</v>
      </c>
      <c r="I34" s="27">
        <v>6234</v>
      </c>
      <c r="J34" s="27">
        <v>6234</v>
      </c>
    </row>
    <row r="35" spans="1:12" x14ac:dyDescent="0.25">
      <c r="A35" s="20" t="s">
        <v>41</v>
      </c>
      <c r="B35" s="27">
        <v>5929</v>
      </c>
      <c r="C35" s="27">
        <v>5929</v>
      </c>
      <c r="H35" s="20" t="s">
        <v>41</v>
      </c>
      <c r="I35" s="27">
        <v>5794</v>
      </c>
      <c r="J35" s="27">
        <v>5794</v>
      </c>
    </row>
    <row r="36" spans="1:12" x14ac:dyDescent="0.25">
      <c r="A36" s="20" t="s">
        <v>42</v>
      </c>
      <c r="B36" s="27">
        <v>6739</v>
      </c>
      <c r="C36" s="27">
        <v>6739</v>
      </c>
      <c r="H36" s="20" t="s">
        <v>42</v>
      </c>
      <c r="I36" s="27">
        <v>6036</v>
      </c>
      <c r="J36" s="27">
        <v>6036</v>
      </c>
    </row>
    <row r="37" spans="1:12" x14ac:dyDescent="0.25">
      <c r="A37" s="20" t="s">
        <v>43</v>
      </c>
      <c r="B37" s="27">
        <v>5731</v>
      </c>
      <c r="C37" s="27">
        <v>5731</v>
      </c>
      <c r="H37" s="20" t="s">
        <v>43</v>
      </c>
      <c r="I37" s="27">
        <v>6056</v>
      </c>
      <c r="J37" s="27">
        <v>6056</v>
      </c>
    </row>
    <row r="38" spans="1:12" x14ac:dyDescent="0.25">
      <c r="A38" s="20" t="s">
        <v>44</v>
      </c>
      <c r="B38" s="27">
        <v>5337</v>
      </c>
      <c r="C38" s="27">
        <v>5337</v>
      </c>
      <c r="F38" t="str">
        <f>"A quantidade total produzida pela equipe 02 foi de "&amp;TEXT(L40,"00.000")</f>
        <v>A quantidade total produzida pela equipe 02 foi de 70.839</v>
      </c>
      <c r="H38" s="20" t="s">
        <v>44</v>
      </c>
      <c r="I38" s="27">
        <v>4914</v>
      </c>
      <c r="J38" s="27">
        <v>4914</v>
      </c>
    </row>
    <row r="39" spans="1:12" x14ac:dyDescent="0.25">
      <c r="A39" s="20" t="s">
        <v>45</v>
      </c>
      <c r="B39" s="27">
        <v>5400</v>
      </c>
      <c r="C39" s="27">
        <v>5400</v>
      </c>
      <c r="H39" s="20" t="s">
        <v>45</v>
      </c>
      <c r="I39" s="27">
        <v>7129</v>
      </c>
      <c r="J39" s="27">
        <v>7129</v>
      </c>
    </row>
    <row r="40" spans="1:12" x14ac:dyDescent="0.25">
      <c r="A40" s="20" t="s">
        <v>31</v>
      </c>
      <c r="B40" s="27">
        <v>68284</v>
      </c>
      <c r="C40" s="27">
        <v>68284</v>
      </c>
      <c r="E40" t="str">
        <f>CONCATENATE(TEXT(GETPIVOTDATA("Quantidade",$A$26,"Equipe","Equipe 01"),"0.000"))</f>
        <v>68.284</v>
      </c>
      <c r="F40" t="str">
        <f>"A quantidade total produzida pela equipe 01 foi de "&amp;TEXT(E40,"00.000")</f>
        <v>A quantidade total produzida pela equipe 01 foi de 68.284</v>
      </c>
      <c r="H40" s="20" t="s">
        <v>31</v>
      </c>
      <c r="I40" s="27">
        <v>70839</v>
      </c>
      <c r="J40" s="27">
        <v>70839</v>
      </c>
      <c r="L40" t="str">
        <f>CONCATENATE(TEXT(GETPIVOTDATA("Quantidade",$H$26,"Equipe","Equipe 02"),"0.000"))</f>
        <v>70.839</v>
      </c>
    </row>
    <row r="43" spans="1:12" x14ac:dyDescent="0.25">
      <c r="A43" s="19" t="s">
        <v>32</v>
      </c>
      <c r="B43" s="19" t="s">
        <v>33</v>
      </c>
    </row>
    <row r="44" spans="1:12" x14ac:dyDescent="0.25">
      <c r="A44" s="19" t="s">
        <v>30</v>
      </c>
      <c r="B44" t="s">
        <v>9</v>
      </c>
      <c r="C44" t="s">
        <v>13</v>
      </c>
      <c r="D44" t="s">
        <v>31</v>
      </c>
    </row>
    <row r="45" spans="1:12" x14ac:dyDescent="0.25">
      <c r="A45" s="20" t="s">
        <v>24</v>
      </c>
      <c r="B45" s="27">
        <v>6040</v>
      </c>
      <c r="C45" s="27">
        <v>4783</v>
      </c>
      <c r="D45" s="27">
        <v>10823</v>
      </c>
    </row>
    <row r="46" spans="1:12" x14ac:dyDescent="0.25">
      <c r="A46" s="20" t="s">
        <v>21</v>
      </c>
      <c r="B46" s="27">
        <v>5129</v>
      </c>
      <c r="C46" s="27">
        <v>5225</v>
      </c>
      <c r="D46" s="27">
        <v>10354</v>
      </c>
    </row>
    <row r="47" spans="1:12" x14ac:dyDescent="0.25">
      <c r="A47" s="20" t="s">
        <v>22</v>
      </c>
      <c r="B47" s="27">
        <v>4774</v>
      </c>
      <c r="C47" s="27">
        <v>5512</v>
      </c>
      <c r="D47" s="27">
        <v>10286</v>
      </c>
    </row>
    <row r="48" spans="1:12" x14ac:dyDescent="0.25">
      <c r="A48" s="20" t="s">
        <v>19</v>
      </c>
      <c r="B48" s="27">
        <v>4760</v>
      </c>
      <c r="C48" s="27">
        <v>4850</v>
      </c>
      <c r="D48" s="27">
        <v>9610</v>
      </c>
    </row>
    <row r="49" spans="1:4" x14ac:dyDescent="0.25">
      <c r="A49" s="20" t="s">
        <v>29</v>
      </c>
      <c r="B49" s="27">
        <v>4545</v>
      </c>
      <c r="C49" s="27">
        <v>4943</v>
      </c>
      <c r="D49" s="27">
        <v>9488</v>
      </c>
    </row>
    <row r="50" spans="1:4" x14ac:dyDescent="0.25">
      <c r="A50" s="20" t="s">
        <v>31</v>
      </c>
      <c r="B50" s="27">
        <v>25248</v>
      </c>
      <c r="C50" s="27">
        <v>25313</v>
      </c>
      <c r="D50" s="27">
        <v>50561</v>
      </c>
    </row>
    <row r="53" spans="1:4" x14ac:dyDescent="0.25">
      <c r="A53" s="19" t="s">
        <v>30</v>
      </c>
      <c r="B53" t="s">
        <v>46</v>
      </c>
      <c r="C53" t="s">
        <v>47</v>
      </c>
    </row>
    <row r="54" spans="1:4" x14ac:dyDescent="0.25">
      <c r="A54" s="20" t="s">
        <v>34</v>
      </c>
      <c r="B54" s="24">
        <v>16921</v>
      </c>
      <c r="C54" s="24">
        <v>16921</v>
      </c>
    </row>
    <row r="55" spans="1:4" x14ac:dyDescent="0.25">
      <c r="A55" s="20" t="s">
        <v>35</v>
      </c>
      <c r="B55" s="24">
        <v>17133</v>
      </c>
      <c r="C55" s="24">
        <v>17133</v>
      </c>
    </row>
    <row r="56" spans="1:4" x14ac:dyDescent="0.25">
      <c r="A56" s="20" t="s">
        <v>36</v>
      </c>
      <c r="B56" s="24">
        <v>17978</v>
      </c>
      <c r="C56" s="24">
        <v>17978</v>
      </c>
    </row>
    <row r="57" spans="1:4" x14ac:dyDescent="0.25">
      <c r="A57" s="20" t="s">
        <v>37</v>
      </c>
      <c r="B57" s="24">
        <v>16951</v>
      </c>
      <c r="C57" s="24">
        <v>16951</v>
      </c>
    </row>
    <row r="58" spans="1:4" x14ac:dyDescent="0.25">
      <c r="A58" s="20" t="s">
        <v>38</v>
      </c>
      <c r="B58" s="24">
        <v>16036</v>
      </c>
      <c r="C58" s="24">
        <v>16036</v>
      </c>
    </row>
    <row r="59" spans="1:4" x14ac:dyDescent="0.25">
      <c r="A59" s="20" t="s">
        <v>39</v>
      </c>
      <c r="B59" s="24">
        <v>19089</v>
      </c>
      <c r="C59" s="24">
        <v>19089</v>
      </c>
    </row>
    <row r="60" spans="1:4" x14ac:dyDescent="0.25">
      <c r="A60" s="20" t="s">
        <v>40</v>
      </c>
      <c r="B60" s="24">
        <v>21087</v>
      </c>
      <c r="C60" s="24">
        <v>21087</v>
      </c>
    </row>
    <row r="61" spans="1:4" x14ac:dyDescent="0.25">
      <c r="A61" s="20" t="s">
        <v>41</v>
      </c>
      <c r="B61" s="24">
        <v>18655</v>
      </c>
      <c r="C61" s="24">
        <v>18655</v>
      </c>
    </row>
    <row r="62" spans="1:4" x14ac:dyDescent="0.25">
      <c r="A62" s="20" t="s">
        <v>42</v>
      </c>
      <c r="B62" s="24">
        <v>20092</v>
      </c>
      <c r="C62" s="24">
        <v>20092</v>
      </c>
    </row>
    <row r="63" spans="1:4" x14ac:dyDescent="0.25">
      <c r="A63" s="20" t="s">
        <v>43</v>
      </c>
      <c r="B63" s="24">
        <v>17295</v>
      </c>
      <c r="C63" s="24">
        <v>17295</v>
      </c>
    </row>
    <row r="64" spans="1:4" x14ac:dyDescent="0.25">
      <c r="A64" s="20" t="s">
        <v>44</v>
      </c>
      <c r="B64" s="24">
        <v>15574</v>
      </c>
      <c r="C64" s="24">
        <v>15574</v>
      </c>
    </row>
    <row r="65" spans="1:6" x14ac:dyDescent="0.25">
      <c r="A65" s="20" t="s">
        <v>45</v>
      </c>
      <c r="B65" s="24">
        <v>20202</v>
      </c>
      <c r="C65" s="24">
        <v>20202</v>
      </c>
    </row>
    <row r="66" spans="1:6" x14ac:dyDescent="0.25">
      <c r="A66" s="20" t="s">
        <v>31</v>
      </c>
      <c r="B66" s="24">
        <v>217013</v>
      </c>
      <c r="C66" s="24">
        <v>217013</v>
      </c>
    </row>
    <row r="71" spans="1:6" x14ac:dyDescent="0.25">
      <c r="A71" s="19" t="s">
        <v>48</v>
      </c>
      <c r="B71" s="19" t="s">
        <v>33</v>
      </c>
    </row>
    <row r="72" spans="1:6" x14ac:dyDescent="0.25">
      <c r="A72" s="19" t="s">
        <v>30</v>
      </c>
      <c r="B72" t="s">
        <v>9</v>
      </c>
      <c r="C72" t="s">
        <v>13</v>
      </c>
      <c r="D72" t="s">
        <v>31</v>
      </c>
    </row>
    <row r="73" spans="1:6" x14ac:dyDescent="0.25">
      <c r="A73" s="20" t="s">
        <v>34</v>
      </c>
      <c r="B73" s="25">
        <v>53.131868131868131</v>
      </c>
      <c r="C73" s="25">
        <v>51.858585858585862</v>
      </c>
      <c r="D73" s="25">
        <v>52.468421052631577</v>
      </c>
      <c r="F73" t="str">
        <f>"A média de produção da equipe 01 é de "&amp;TEXT(GETPIVOTDATA("Quantidade",$A$71,"Equipe","Equipe 01"),"00,00")</f>
        <v>A média de produção da equipe 01 é de 54,89</v>
      </c>
    </row>
    <row r="74" spans="1:6" x14ac:dyDescent="0.25">
      <c r="A74" s="20" t="s">
        <v>35</v>
      </c>
      <c r="B74" s="25">
        <v>56.58653846153846</v>
      </c>
      <c r="C74" s="25">
        <v>57.255102040816325</v>
      </c>
      <c r="D74" s="25">
        <v>56.910891089108908</v>
      </c>
      <c r="F74" t="str">
        <f>"A média de produção da equipe 02 é de "&amp;TEXT(GETPIVOTDATA("Quantidade",$A$71,"Equipe","Equipe 02"),"00,00")</f>
        <v>A média de produção da equipe 02 é de 55,17</v>
      </c>
    </row>
    <row r="75" spans="1:6" x14ac:dyDescent="0.25">
      <c r="A75" s="20" t="s">
        <v>36</v>
      </c>
      <c r="B75" s="25">
        <v>50.9375</v>
      </c>
      <c r="C75" s="25">
        <v>60.123711340206185</v>
      </c>
      <c r="D75" s="25">
        <v>55.200956937799042</v>
      </c>
    </row>
    <row r="76" spans="1:6" x14ac:dyDescent="0.25">
      <c r="A76" s="20" t="s">
        <v>37</v>
      </c>
      <c r="B76" s="25">
        <v>53.444444444444443</v>
      </c>
      <c r="C76" s="25">
        <v>56.059829059829063</v>
      </c>
      <c r="D76" s="25">
        <v>54.922705314009661</v>
      </c>
      <c r="F76" t="b">
        <f>IF(COUNTA(A73:A85)=1,"A média da produção no mês de "&amp;A73&amp;", foi de "&amp;TEXT(GETPIVOTDATA("Quantidade",$A$71,"Equipe","Equipe 01","Meses (Data)",2),"00,00"))</f>
        <v>0</v>
      </c>
    </row>
    <row r="77" spans="1:6" x14ac:dyDescent="0.25">
      <c r="A77" s="20" t="s">
        <v>38</v>
      </c>
      <c r="B77" s="25">
        <v>57.445544554455445</v>
      </c>
      <c r="C77" s="25">
        <v>56.402173913043477</v>
      </c>
      <c r="D77" s="25">
        <v>56.948186528497409</v>
      </c>
    </row>
    <row r="78" spans="1:6" x14ac:dyDescent="0.25">
      <c r="A78" s="20" t="s">
        <v>39</v>
      </c>
      <c r="B78" s="25">
        <v>54.47</v>
      </c>
      <c r="C78" s="25">
        <v>53.822033898305087</v>
      </c>
      <c r="D78" s="25">
        <v>54.11926605504587</v>
      </c>
    </row>
    <row r="79" spans="1:6" x14ac:dyDescent="0.25">
      <c r="A79" s="20" t="s">
        <v>40</v>
      </c>
      <c r="B79" s="25">
        <v>55.074380165289256</v>
      </c>
      <c r="C79" s="25">
        <v>55.168141592920357</v>
      </c>
      <c r="D79" s="25">
        <v>55.119658119658119</v>
      </c>
    </row>
    <row r="80" spans="1:6" x14ac:dyDescent="0.25">
      <c r="A80" s="20" t="s">
        <v>41</v>
      </c>
      <c r="B80" s="25">
        <v>54.898148148148145</v>
      </c>
      <c r="C80" s="25">
        <v>51.274336283185839</v>
      </c>
      <c r="D80" s="25">
        <v>53.04524886877828</v>
      </c>
    </row>
    <row r="81" spans="1:4" x14ac:dyDescent="0.25">
      <c r="A81" s="20" t="s">
        <v>42</v>
      </c>
      <c r="B81" s="25">
        <v>54.788617886178862</v>
      </c>
      <c r="C81" s="25">
        <v>55.376146788990823</v>
      </c>
      <c r="D81" s="25">
        <v>55.064655172413794</v>
      </c>
    </row>
    <row r="82" spans="1:4" x14ac:dyDescent="0.25">
      <c r="A82" s="20" t="s">
        <v>43</v>
      </c>
      <c r="B82" s="25">
        <v>55.105769230769234</v>
      </c>
      <c r="C82" s="25">
        <v>57.676190476190477</v>
      </c>
      <c r="D82" s="25">
        <v>56.397129186602868</v>
      </c>
    </row>
    <row r="83" spans="1:4" x14ac:dyDescent="0.25">
      <c r="A83" s="20" t="s">
        <v>44</v>
      </c>
      <c r="B83" s="25">
        <v>59.3</v>
      </c>
      <c r="C83" s="25">
        <v>54</v>
      </c>
      <c r="D83" s="25">
        <v>56.635359116022101</v>
      </c>
    </row>
    <row r="84" spans="1:4" x14ac:dyDescent="0.25">
      <c r="A84" s="20" t="s">
        <v>45</v>
      </c>
      <c r="B84" s="25">
        <v>54</v>
      </c>
      <c r="C84" s="25">
        <v>54.007575757575758</v>
      </c>
      <c r="D84" s="25">
        <v>54.004310344827587</v>
      </c>
    </row>
    <row r="85" spans="1:4" x14ac:dyDescent="0.25">
      <c r="A85" s="20" t="s">
        <v>31</v>
      </c>
      <c r="B85" s="27">
        <v>54.89067524115756</v>
      </c>
      <c r="C85" s="27">
        <v>55.170560747663551</v>
      </c>
      <c r="D85" s="27">
        <v>55.03283227848101</v>
      </c>
    </row>
  </sheetData>
  <pageMargins left="0.511811024" right="0.511811024" top="0.78740157499999996" bottom="0.78740157499999996" header="0.31496062000000002" footer="0.31496062000000002"/>
  <pageSetup paperSize="9" orientation="portrait" r:id="rId9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62F61-E53E-4B8C-9660-185F415DFA10}">
  <sheetPr codeName="Planilha3"/>
  <dimension ref="A1:AL44"/>
  <sheetViews>
    <sheetView showRowColHeaders="0" tabSelected="1" zoomScale="94" zoomScaleNormal="94" workbookViewId="0">
      <selection activeCell="C20" sqref="C20"/>
    </sheetView>
  </sheetViews>
  <sheetFormatPr defaultRowHeight="15" x14ac:dyDescent="0.25"/>
  <cols>
    <col min="11" max="11" width="7.5703125" customWidth="1"/>
    <col min="18" max="18" width="10.42578125" customWidth="1"/>
    <col min="19" max="19" width="7.42578125" customWidth="1"/>
  </cols>
  <sheetData>
    <row r="1" spans="1:38" x14ac:dyDescent="0.25">
      <c r="A1" s="22"/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</row>
    <row r="2" spans="1:38" x14ac:dyDescent="0.25">
      <c r="A2" s="22"/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</row>
    <row r="3" spans="1:38" x14ac:dyDescent="0.25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</row>
    <row r="4" spans="1:38" x14ac:dyDescent="0.25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</row>
    <row r="5" spans="1:38" x14ac:dyDescent="0.25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</row>
    <row r="6" spans="1:38" x14ac:dyDescent="0.25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</row>
    <row r="7" spans="1:38" x14ac:dyDescent="0.25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</row>
    <row r="8" spans="1:38" x14ac:dyDescent="0.25">
      <c r="A8" s="22"/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</row>
    <row r="9" spans="1:38" x14ac:dyDescent="0.25">
      <c r="A9" s="22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</row>
    <row r="10" spans="1:38" x14ac:dyDescent="0.25">
      <c r="A10" s="22"/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</row>
    <row r="11" spans="1:38" x14ac:dyDescent="0.25">
      <c r="A11" s="22"/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</row>
    <row r="12" spans="1:38" x14ac:dyDescent="0.25">
      <c r="A12" s="22"/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</row>
    <row r="13" spans="1:38" x14ac:dyDescent="0.25">
      <c r="A13" s="22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</row>
    <row r="14" spans="1:38" x14ac:dyDescent="0.25">
      <c r="A14" s="22"/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</row>
    <row r="15" spans="1:38" x14ac:dyDescent="0.25">
      <c r="A15" s="22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</row>
    <row r="16" spans="1:38" x14ac:dyDescent="0.25">
      <c r="A16" s="22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</row>
    <row r="17" spans="1:38" x14ac:dyDescent="0.25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</row>
    <row r="18" spans="1:38" x14ac:dyDescent="0.25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</row>
    <row r="19" spans="1:38" x14ac:dyDescent="0.25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</row>
    <row r="20" spans="1:38" x14ac:dyDescent="0.25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</row>
    <row r="21" spans="1:38" x14ac:dyDescent="0.25">
      <c r="A21" s="22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</row>
    <row r="22" spans="1:38" x14ac:dyDescent="0.25">
      <c r="A22" s="22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</row>
    <row r="23" spans="1:38" x14ac:dyDescent="0.25">
      <c r="A23" s="22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</row>
    <row r="24" spans="1:38" x14ac:dyDescent="0.25">
      <c r="A24" s="22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</row>
    <row r="25" spans="1:38" x14ac:dyDescent="0.25">
      <c r="A25" s="22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</row>
    <row r="26" spans="1:38" x14ac:dyDescent="0.25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</row>
    <row r="27" spans="1:38" x14ac:dyDescent="0.25">
      <c r="A27" s="22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</row>
    <row r="28" spans="1:38" x14ac:dyDescent="0.25">
      <c r="A28" s="22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</row>
    <row r="29" spans="1:38" x14ac:dyDescent="0.25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</row>
    <row r="30" spans="1:38" x14ac:dyDescent="0.25">
      <c r="A30" s="22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</row>
    <row r="31" spans="1:38" x14ac:dyDescent="0.25">
      <c r="A31" s="22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</row>
    <row r="32" spans="1:38" x14ac:dyDescent="0.25">
      <c r="A32" s="22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</row>
    <row r="33" spans="1:38" x14ac:dyDescent="0.25">
      <c r="A33" s="22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</row>
    <row r="34" spans="1:38" x14ac:dyDescent="0.25">
      <c r="A34" s="22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</row>
    <row r="35" spans="1:38" x14ac:dyDescent="0.25">
      <c r="A35" s="22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</row>
    <row r="36" spans="1:38" x14ac:dyDescent="0.25">
      <c r="A36" s="22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</row>
    <row r="37" spans="1:38" x14ac:dyDescent="0.25">
      <c r="A37" s="22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</row>
    <row r="38" spans="1:38" x14ac:dyDescent="0.25">
      <c r="A38" s="22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</row>
    <row r="39" spans="1:38" x14ac:dyDescent="0.25">
      <c r="A39" s="22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</row>
    <row r="40" spans="1:38" x14ac:dyDescent="0.25">
      <c r="A40" s="22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</row>
    <row r="41" spans="1:38" x14ac:dyDescent="0.25">
      <c r="A41" s="22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</row>
    <row r="42" spans="1:38" x14ac:dyDescent="0.25">
      <c r="A42" s="22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</row>
    <row r="43" spans="1:38" x14ac:dyDescent="0.25">
      <c r="A43" s="22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</row>
    <row r="44" spans="1:38" x14ac:dyDescent="0.25">
      <c r="A44" s="22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Tabela</vt:lpstr>
      <vt:lpstr>Cálculos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Cledison Nascimento</dc:creator>
  <cp:lastModifiedBy>edinaldo</cp:lastModifiedBy>
  <dcterms:created xsi:type="dcterms:W3CDTF">2023-06-07T13:25:17Z</dcterms:created>
  <dcterms:modified xsi:type="dcterms:W3CDTF">2023-08-11T14:56:18Z</dcterms:modified>
</cp:coreProperties>
</file>